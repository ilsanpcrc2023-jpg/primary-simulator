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뮬레이터_업로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cols>
    <col min="1" max="1" width="8.83203125" customWidth="1"/>
    <col min="2" max="2" width="10.83203125" customWidth="1"/>
    <col min="3" max="3" width="16.83203125" customWidth="1"/>
    <col min="4" max="4" width="16.83203125" customWidth="1"/>
    <col min="5" max="5" width="14.83203125" customWidth="1"/>
    <col min="6" max="6" width="12.83203125" customWidth="1"/>
    <col min="7" max="7" width="10.83203125" customWidth="1"/>
    <col min="8" max="8" width="8.83203125" customWidth="1"/>
    <col min="9" max="9" width="10.83203125" customWidth="1"/>
    <col min="10" max="10" width="12.83203125" customWidth="1"/>
    <col min="11" max="11" width="8.83203125" customWidth="1"/>
    <col min="12" max="12" width="12.83203125" customWidth="1"/>
    <col min="13" max="13" width="12.83203125" customWidth="1"/>
    <col min="14" max="14" width="10.83203125" customWidth="1"/>
    <col min="15" max="15" width="16.83203125" customWidth="1"/>
  </cols>
  <sheetData>
    <row r="1">
      <c r="A1" t="str">
        <v>환자군</v>
      </c>
      <c r="B1" t="str">
        <v>N</v>
      </c>
      <c r="C1" t="str">
        <v>T</v>
      </c>
      <c r="D1" t="str">
        <v>C</v>
      </c>
      <c r="E1" t="str">
        <v>M</v>
      </c>
      <c r="F1" t="str">
        <v>HCC 평균</v>
      </c>
      <c r="G1" t="str">
        <v>의원비중</v>
      </c>
      <c r="H1" t="str">
        <v>L</v>
      </c>
      <c r="I1" t="str">
        <v>M1</v>
      </c>
      <c r="J1" t="str">
        <v>B</v>
      </c>
      <c r="K1" t="str">
        <v>F</v>
      </c>
      <c r="L1" t="str">
        <v>P</v>
      </c>
      <c r="M1" t="str">
        <v>공단지급</v>
      </c>
      <c r="N1" t="str">
        <v>본인부담</v>
      </c>
      <c r="O1" t="str">
        <v>1인당 의원수입</v>
      </c>
    </row>
    <row r="2">
      <c r="A2" t="str">
        <v>1군</v>
      </c>
      <c r="B2">
        <v>11956</v>
      </c>
      <c r="C2">
        <v>5289464220</v>
      </c>
      <c r="D2">
        <v>3708639860</v>
      </c>
      <c r="E2">
        <v>750846470</v>
      </c>
      <c r="F2">
        <f>C2/B2</f>
        <v>442410.8581465373</v>
      </c>
      <c r="G2">
        <f>D2/C2</f>
        <v>0.7011371484426073</v>
      </c>
      <c r="H2">
        <f>(D2-E2)/D2</f>
        <v>0.7975412824258433</v>
      </c>
      <c r="I2">
        <f>E2/B2</f>
        <v>62800.80879892941</v>
      </c>
      <c r="J2">
        <f>ROUND(F2*G2,0)</f>
        <v>310191</v>
      </c>
      <c r="K2">
        <v>10000</v>
      </c>
      <c r="L2">
        <f>J2+K2</f>
        <v>320191</v>
      </c>
      <c r="M2">
        <f>ROUND(J2*(1-H2)+K2,0)</f>
        <v>72801</v>
      </c>
      <c r="N2">
        <f>ROUND(I2*0.3,0)</f>
        <v>18840</v>
      </c>
      <c r="O2">
        <f>M2+N2</f>
        <v>91641</v>
      </c>
    </row>
    <row r="3">
      <c r="A3" t="str">
        <v>2군</v>
      </c>
      <c r="B3">
        <v>13778</v>
      </c>
      <c r="C3">
        <v>8558157720</v>
      </c>
      <c r="D3">
        <v>5602773370</v>
      </c>
      <c r="E3">
        <v>1158490130</v>
      </c>
      <c r="F3">
        <f>C3/B3</f>
        <v>621146.5902162868</v>
      </c>
      <c r="G3">
        <f>D3/C3</f>
        <v>0.6546704972387445</v>
      </c>
      <c r="H3">
        <f>(D3-E3)/D3</f>
        <v>0.7932291646485069</v>
      </c>
      <c r="I3">
        <f>E3/B3</f>
        <v>84082.6048773407</v>
      </c>
      <c r="J3">
        <f>ROUND(F3*G3,0)</f>
        <v>406646</v>
      </c>
      <c r="K3">
        <v>20000</v>
      </c>
      <c r="L3">
        <f>J3+K3</f>
        <v>426646</v>
      </c>
      <c r="M3">
        <f>ROUND(J3*(1-H3)+K3,0)</f>
        <v>104083</v>
      </c>
      <c r="N3">
        <f>ROUND(I3*0.3,0)</f>
        <v>25225</v>
      </c>
      <c r="O3">
        <f>M3+N3</f>
        <v>129308</v>
      </c>
    </row>
    <row r="4">
      <c r="A4" t="str">
        <v>3군</v>
      </c>
      <c r="B4">
        <v>18089</v>
      </c>
      <c r="C4">
        <v>20627094420</v>
      </c>
      <c r="D4">
        <v>12146547670</v>
      </c>
      <c r="E4">
        <v>2499026390</v>
      </c>
      <c r="F4">
        <f>C4/B4</f>
        <v>1140311.4832218476</v>
      </c>
      <c r="G4">
        <f>D4/C4</f>
        <v>0.5888637256744569</v>
      </c>
      <c r="H4">
        <f>(D4-E4)/D4</f>
        <v>0.7942603562844289</v>
      </c>
      <c r="I4">
        <f>E4/B4</f>
        <v>138151.71595997567</v>
      </c>
      <c r="J4">
        <f>ROUND(F4*G4,0)</f>
        <v>671488</v>
      </c>
      <c r="K4">
        <v>30000</v>
      </c>
      <c r="L4">
        <f>J4+K4</f>
        <v>701488</v>
      </c>
      <c r="M4">
        <f>ROUND(J4*(1-H4)+K4,0)</f>
        <v>168152</v>
      </c>
      <c r="N4">
        <f>ROUND(I4*0.3,0)</f>
        <v>41446</v>
      </c>
      <c r="O4">
        <f>M4+N4</f>
        <v>209598</v>
      </c>
    </row>
    <row r="5">
      <c r="A5" t="str">
        <v>4군</v>
      </c>
      <c r="B5">
        <v>25781</v>
      </c>
      <c r="C5">
        <v>88338108030</v>
      </c>
      <c r="D5">
        <v>26403984090</v>
      </c>
      <c r="E5">
        <v>6021419440</v>
      </c>
      <c r="F5">
        <f>C5/B5</f>
        <v>3426481.053101121</v>
      </c>
      <c r="G5">
        <f>D5/C5</f>
        <v>0.29889687111063207</v>
      </c>
      <c r="H5">
        <f>(D5-E5)/D5</f>
        <v>0.7719503458464627</v>
      </c>
      <c r="I5">
        <f>E5/B5</f>
        <v>233560.35219735463</v>
      </c>
      <c r="J5">
        <f>ROUND(F5*G5,0)</f>
        <v>1024164</v>
      </c>
      <c r="K5">
        <v>40000</v>
      </c>
      <c r="L5">
        <f>J5+K5</f>
        <v>1064164</v>
      </c>
      <c r="M5">
        <f>ROUND(J5*(1-H5)+K5,0)</f>
        <v>273560</v>
      </c>
      <c r="N5">
        <f>ROUND(I5*0.3,0)</f>
        <v>70068</v>
      </c>
      <c r="O5">
        <f>M5+N5</f>
        <v>343628</v>
      </c>
    </row>
    <row r="6">
      <c r="A6" t="str">
        <v>합계</v>
      </c>
      <c r="B6">
        <f>SUM(B2:B5)</f>
        <v>69604</v>
      </c>
      <c r="C6">
        <f>SUM(C2:C5)</f>
        <v>122812824390</v>
      </c>
      <c r="D6">
        <f>SUM(D2:D5)</f>
        <v>47861944990</v>
      </c>
      <c r="E6">
        <f>SUM(E2:E5)</f>
        <v>10429782430</v>
      </c>
      <c r="F6">
        <f>C6/B6</f>
        <v>1764450.6693580828</v>
      </c>
      <c r="G6">
        <f>D6/C6</f>
        <v>0.38971455324576953</v>
      </c>
      <c r="H6">
        <f>(D6-E6)/D6</f>
        <v>0.7820861138806804</v>
      </c>
      <c r="I6">
        <f>E6/B6</f>
        <v>149844.58407562785</v>
      </c>
      <c r="J6">
        <f>ROUND(F6*G6,0)</f>
        <v>687632</v>
      </c>
      <c r="K6">
        <f>ROUND(SUMPRODUCT(B2:B5,K2:K5)/B6,0)</f>
        <v>28289</v>
      </c>
      <c r="L6">
        <f>J6+K6</f>
        <v>715921</v>
      </c>
      <c r="M6">
        <f>ROUND(J6*(1-H6)+K6,0)</f>
        <v>178134</v>
      </c>
      <c r="N6">
        <f>ROUND(I6*0.3,0)</f>
        <v>44953</v>
      </c>
      <c r="O6">
        <f>M6+N6</f>
        <v>223087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시뮬레이터_업로드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