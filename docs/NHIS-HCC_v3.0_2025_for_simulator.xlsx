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14D2E4A-7044-4F6B-8AF9-8B68A21F909E}" xr6:coauthVersionLast="47" xr6:coauthVersionMax="47" xr10:uidLastSave="{00000000-0000-0000-0000-000000000000}"/>
  <bookViews>
    <workbookView xWindow="760" yWindow="760" windowWidth="28800" windowHeight="1537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M3" i="4"/>
  <c r="M4" i="4"/>
  <c r="F2" i="4"/>
  <c r="H2" i="4" s="1"/>
  <c r="K6" i="4"/>
  <c r="J6" i="4"/>
  <c r="M2" i="4"/>
  <c r="G6" i="4"/>
  <c r="F3" i="4"/>
  <c r="F4" i="4"/>
  <c r="H4" i="4" s="1"/>
  <c r="F5" i="4"/>
  <c r="H5" i="4" s="1"/>
  <c r="I5" i="4" s="1"/>
  <c r="M6" i="4" l="1"/>
  <c r="I2" i="4"/>
  <c r="N2" i="4" s="1"/>
  <c r="H3" i="4"/>
  <c r="N5" i="4"/>
  <c r="I4" i="4"/>
  <c r="N4" i="4" s="1"/>
  <c r="I3" i="4"/>
  <c r="N3" i="4" s="1"/>
  <c r="F6" i="4"/>
  <c r="H6" i="4" s="1"/>
  <c r="C6" i="4" l="1"/>
  <c r="C11" i="4" s="1"/>
  <c r="C12" i="4" s="1"/>
  <c r="B6" i="4"/>
</calcChain>
</file>

<file path=xl/sharedStrings.xml><?xml version="1.0" encoding="utf-8"?>
<sst xmlns="http://schemas.openxmlformats.org/spreadsheetml/2006/main" count="40" uniqueCount="40">
  <si>
    <t>HCC평균</t>
    <phoneticPr fontId="4" type="noConversion"/>
  </si>
  <si>
    <t>의원급외래비중 CR</t>
    <phoneticPr fontId="4" type="noConversion"/>
  </si>
  <si>
    <t>CR=H/G</t>
    <phoneticPr fontId="4" type="noConversion"/>
  </si>
  <si>
    <t>C1=RC/RT</t>
    <phoneticPr fontId="4" type="noConversion"/>
  </si>
  <si>
    <t>환자군별 
전체 환자수 NT</t>
    <phoneticPr fontId="4" type="noConversion"/>
  </si>
  <si>
    <t>환자군별 (2,923개) 참여의원 환자수 NC</t>
    <phoneticPr fontId="4" type="noConversion"/>
  </si>
  <si>
    <t>환자군 평균
의료비 A</t>
    <phoneticPr fontId="4" type="noConversion"/>
  </si>
  <si>
    <t>총의료비 T</t>
    <phoneticPr fontId="4" type="noConversion"/>
  </si>
  <si>
    <t>의원급외래비 C</t>
    <phoneticPr fontId="4" type="noConversion"/>
  </si>
  <si>
    <t>수식</t>
    <phoneticPr fontId="4" type="noConversion"/>
  </si>
  <si>
    <t>합계.평균</t>
    <phoneticPr fontId="4" type="noConversion"/>
  </si>
  <si>
    <t>포괄관리
비중 C1</t>
    <phoneticPr fontId="6" type="noConversion"/>
  </si>
  <si>
    <t>환자군 
기준의료비 B</t>
    <phoneticPr fontId="4" type="noConversion"/>
  </si>
  <si>
    <t>등록환자의 
등록의원 외래의료비 RC</t>
    <phoneticPr fontId="4" type="noConversion"/>
  </si>
  <si>
    <t>등록환자의 
전체 의원급 외래 
의료비(타원포함) RT</t>
    <phoneticPr fontId="6" type="noConversion"/>
  </si>
  <si>
    <t>일차의료
기본수가 
PB</t>
    <phoneticPr fontId="4" type="noConversion"/>
  </si>
  <si>
    <t>cf. 타원이용비중 
L1</t>
    <phoneticPr fontId="4" type="noConversion"/>
  </si>
  <si>
    <t>참여의원 환자수</t>
    <phoneticPr fontId="4" type="noConversion"/>
  </si>
  <si>
    <t>참여의원 수</t>
    <phoneticPr fontId="4" type="noConversion"/>
  </si>
  <si>
    <t>의원당 환자수</t>
    <phoneticPr fontId="4" type="noConversion"/>
  </si>
  <si>
    <t>1) 2025년 건보공단 전수자료(53,247,650명)로 NHIS-HCC v3.0 구축 후</t>
    <phoneticPr fontId="4" type="noConversion"/>
  </si>
  <si>
    <t>HCC 4분위
환자군</t>
    <phoneticPr fontId="4" type="noConversion"/>
  </si>
  <si>
    <t>2) HCC 4분위(quartile)로 환자군 1-4군 분류</t>
    <phoneticPr fontId="4" type="noConversion"/>
  </si>
  <si>
    <t>자료 분석 절차</t>
    <phoneticPr fontId="4" type="noConversion"/>
  </si>
  <si>
    <t>환자 4군
(HCC 4분위)</t>
    <phoneticPr fontId="4" type="noConversion"/>
  </si>
  <si>
    <t>환자 1군
(HCC 1분위)</t>
    <phoneticPr fontId="4" type="noConversion"/>
  </si>
  <si>
    <t>환자 2군
(HCC 2분위)</t>
    <phoneticPr fontId="4" type="noConversion"/>
  </si>
  <si>
    <t>환자 3군
(HCC 3분위)</t>
    <phoneticPr fontId="4" type="noConversion"/>
  </si>
  <si>
    <t>주분석 대상: 일차의료 만성질환관리 시범사업 참여의원 2,923개 의원 환자 12,801,143명 (의원당 환자수 4,379명)</t>
    <phoneticPr fontId="4" type="noConversion"/>
  </si>
  <si>
    <t>1단계 (건보공단 전수자료 HCC 분석)</t>
    <phoneticPr fontId="4" type="noConversion"/>
  </si>
  <si>
    <t xml:space="preserve">2단계 (일만시 참여의원 환자 중심 분석) </t>
    <phoneticPr fontId="4" type="noConversion"/>
  </si>
  <si>
    <t>1) 환자군 평균 의료비 A</t>
    <phoneticPr fontId="4" type="noConversion"/>
  </si>
  <si>
    <t>B=A x CR</t>
    <phoneticPr fontId="4" type="noConversion"/>
  </si>
  <si>
    <t>2) 환자군 기준 의료비(의원급외래) B = A x CR</t>
    <phoneticPr fontId="4" type="noConversion"/>
  </si>
  <si>
    <t>PB=B x C1</t>
    <phoneticPr fontId="4" type="noConversion"/>
  </si>
  <si>
    <t>3) 일차의료기본수가 PB= B x C1</t>
    <phoneticPr fontId="4" type="noConversion"/>
  </si>
  <si>
    <t>일차의료기능보정 PF</t>
    <phoneticPr fontId="4" type="noConversion"/>
  </si>
  <si>
    <t xml:space="preserve">일차의료수가 P = PB + PF </t>
    <phoneticPr fontId="4" type="noConversion"/>
  </si>
  <si>
    <t>cf. 일차의료 정책 보정 후 일차의료수가</t>
    <phoneticPr fontId="4" type="noConversion"/>
  </si>
  <si>
    <t>일차의료 만성질환관리 시범사업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</si>
</sst>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00_-;\-* #,##0.0000_-;_-* &quot;-&quot;_-;_-@_-"/>
    <numFmt numFmtId="177" formatCode="0.0%"/>
    <numFmt numFmtId="178" formatCode="0.000"/>
  </numFmts>
  <fonts count="11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b/>
      <u/>
      <sz val="1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3" fontId="0" fillId="0" borderId="0" xfId="0" applyNumberFormat="1"/>
    <xf numFmtId="0" fontId="0" fillId="0" borderId="0" xfId="0" quotePrefix="1"/>
    <xf numFmtId="41" fontId="0" fillId="0" borderId="0" xfId="0" applyNumberFormat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177" fontId="0" fillId="0" borderId="0" xfId="2" applyNumberFormat="1" applyFont="1" applyFill="1" applyBorder="1" applyAlignment="1">
      <alignment horizontal="right" vertical="center"/>
    </xf>
    <xf numFmtId="177" fontId="2" fillId="0" borderId="0" xfId="2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2" fillId="0" borderId="0" xfId="0" applyNumberFormat="1" applyFont="1" applyAlignment="1">
      <alignment horizontal="right" vertical="center" wrapText="1"/>
    </xf>
    <xf numFmtId="41" fontId="0" fillId="0" borderId="0" xfId="1" applyFont="1" applyBorder="1" applyAlignment="1">
      <alignment horizontal="right" vertical="center" wrapText="1"/>
    </xf>
    <xf numFmtId="177" fontId="5" fillId="4" borderId="0" xfId="2" applyNumberFormat="1" applyFont="1" applyFill="1" applyBorder="1" applyAlignment="1">
      <alignment horizontal="right" vertical="center" wrapText="1"/>
    </xf>
    <xf numFmtId="41" fontId="5" fillId="4" borderId="0" xfId="1" applyFont="1" applyFill="1" applyBorder="1" applyAlignment="1">
      <alignment horizontal="right" vertical="center" wrapText="1"/>
    </xf>
    <xf numFmtId="41" fontId="0" fillId="0" borderId="0" xfId="1" applyFont="1" applyFill="1" applyBorder="1" applyAlignment="1">
      <alignment horizontal="right" vertical="center" wrapText="1"/>
    </xf>
    <xf numFmtId="177" fontId="5" fillId="4" borderId="0" xfId="2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41" fontId="2" fillId="0" borderId="0" xfId="1" applyFont="1" applyFill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41" fontId="1" fillId="0" borderId="0" xfId="1" applyFont="1" applyFill="1" applyBorder="1" applyAlignment="1">
      <alignment horizontal="right" vertical="center" wrapText="1"/>
    </xf>
    <xf numFmtId="177" fontId="0" fillId="0" borderId="0" xfId="2" applyNumberFormat="1" applyFont="1" applyFill="1" applyBorder="1" applyAlignment="1">
      <alignment horizontal="right" vertical="center" wrapText="1"/>
    </xf>
    <xf numFmtId="176" fontId="0" fillId="0" borderId="0" xfId="1" applyNumberFormat="1" applyFont="1" applyFill="1" applyBorder="1" applyAlignment="1">
      <alignment horizontal="right" vertical="center" wrapText="1"/>
    </xf>
    <xf numFmtId="41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7" fillId="2" borderId="0" xfId="0" applyFont="1" applyFill="1" applyAlignment="1">
      <alignment horizontal="center" vertical="center" wrapText="1"/>
    </xf>
    <xf numFmtId="41" fontId="5" fillId="5" borderId="0" xfId="1" applyFont="1" applyFill="1" applyBorder="1" applyAlignment="1">
      <alignment horizontal="right" vertical="center"/>
    </xf>
    <xf numFmtId="3" fontId="1" fillId="4" borderId="0" xfId="0" applyNumberFormat="1" applyFont="1" applyFill="1" applyAlignment="1">
      <alignment horizontal="right" vertical="center" wrapText="1"/>
    </xf>
    <xf numFmtId="41" fontId="0" fillId="0" borderId="0" xfId="1" applyFont="1" applyAlignment="1"/>
    <xf numFmtId="0" fontId="5" fillId="0" borderId="0" xfId="0" applyFont="1"/>
    <xf numFmtId="0" fontId="8" fillId="0" borderId="0" xfId="0" applyFont="1"/>
    <xf numFmtId="0" fontId="0" fillId="6" borderId="0" xfId="0" applyFill="1"/>
    <xf numFmtId="0" fontId="5" fillId="6" borderId="0" xfId="0" applyFont="1" applyFill="1"/>
    <xf numFmtId="0" fontId="9" fillId="6" borderId="0" xfId="0" applyFont="1" applyFill="1"/>
    <xf numFmtId="0" fontId="10" fillId="6" borderId="0" xfId="0" applyFont="1" applyFill="1"/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85" zoomScaleNormal="85" workbookViewId="0">
      <selection activeCell="Q3" sqref="Q3"/>
    </sheetView>
  </sheetViews>
  <sheetFormatPr defaultRowHeight="17" x14ac:dyDescent="0.45"/>
  <cols>
    <col min="1" max="1" width="12.83203125" customWidth="1"/>
    <col min="2" max="2" width="14.58203125" customWidth="1"/>
    <col min="3" max="3" width="12.6640625" customWidth="1"/>
    <col min="4" max="5" width="12.58203125" customWidth="1"/>
    <col min="6" max="6" width="18" customWidth="1"/>
    <col min="7" max="7" width="21.5" customWidth="1"/>
    <col min="8" max="8" width="8.5" customWidth="1"/>
    <col min="9" max="9" width="11.58203125" customWidth="1"/>
    <col min="10" max="10" width="20" customWidth="1"/>
    <col min="11" max="11" width="18.4140625" customWidth="1"/>
    <col min="12" max="12" width="8.83203125"/>
    <col min="13" max="13" width="10" customWidth="1"/>
    <col min="14" max="14" width="13.33203125" customWidth="1"/>
    <col min="15" max="15" width="12.08203125" customWidth="1"/>
    <col min="17" max="17" width="8.83203125"/>
  </cols>
  <sheetData>
    <row r="1" spans="1:17" ht="69.650000000000006" customHeight="1" x14ac:dyDescent="0.45">
      <c r="A1" s="8" t="s">
        <v>21</v>
      </c>
      <c r="B1" s="8" t="s">
        <v>4</v>
      </c>
      <c r="C1" s="8" t="s">
        <v>5</v>
      </c>
      <c r="D1" s="8" t="s">
        <v>0</v>
      </c>
      <c r="E1" s="8" t="s">
        <v>6</v>
      </c>
      <c r="F1" s="8" t="s">
        <v>7</v>
      </c>
      <c r="G1" s="25" t="s">
        <v>8</v>
      </c>
      <c r="H1" s="8" t="s">
        <v>1</v>
      </c>
      <c r="I1" s="8" t="s">
        <v>12</v>
      </c>
      <c r="J1" s="25" t="s">
        <v>14</v>
      </c>
      <c r="K1" s="25" t="s">
        <v>13</v>
      </c>
      <c r="L1" s="8" t="s">
        <v>16</v>
      </c>
      <c r="M1" s="25" t="s">
        <v>11</v>
      </c>
      <c r="N1" s="25" t="s">
        <v>15</v>
      </c>
      <c r="O1" s="4"/>
      <c r="Q1" s="4"/>
    </row>
    <row r="2" spans="1:17" s="16" customFormat="1" ht="34" x14ac:dyDescent="0.45">
      <c r="A2" s="9" t="s">
        <v>25</v>
      </c>
      <c r="B2" s="10">
        <v>12463713</v>
      </c>
      <c r="C2" s="10">
        <v>2050360</v>
      </c>
      <c r="D2" s="10">
        <v>74979.92</v>
      </c>
      <c r="E2" s="27">
        <v>281847</v>
      </c>
      <c r="F2" s="10">
        <f>E2*B2</f>
        <v>3512860117911</v>
      </c>
      <c r="G2" s="11">
        <v>2596420684820</v>
      </c>
      <c r="H2" s="12">
        <f>G2/F2</f>
        <v>0.73911872311158777</v>
      </c>
      <c r="I2" s="13">
        <f>E2*H2</f>
        <v>208318.39475283169</v>
      </c>
      <c r="J2" s="14">
        <v>728459517140</v>
      </c>
      <c r="K2" s="14">
        <v>204787598620</v>
      </c>
      <c r="L2" s="6">
        <v>0.71887580050568189</v>
      </c>
      <c r="M2" s="15">
        <f>K2/J2</f>
        <v>0.28112419949431811</v>
      </c>
      <c r="N2" s="26">
        <f>I2*M2</f>
        <v>58563.341964831168</v>
      </c>
      <c r="O2" s="10"/>
      <c r="Q2" s="17"/>
    </row>
    <row r="3" spans="1:17" s="16" customFormat="1" ht="34" x14ac:dyDescent="0.45">
      <c r="A3" s="9" t="s">
        <v>26</v>
      </c>
      <c r="B3" s="10">
        <v>14141795</v>
      </c>
      <c r="C3" s="10">
        <v>2869115</v>
      </c>
      <c r="D3" s="10">
        <v>296115</v>
      </c>
      <c r="E3" s="27">
        <v>563018</v>
      </c>
      <c r="F3" s="10">
        <f>E3*B3</f>
        <v>7962085137310</v>
      </c>
      <c r="G3" s="11">
        <v>4471807819650</v>
      </c>
      <c r="H3" s="12">
        <f t="shared" ref="H3:H6" si="0">G3/F3</f>
        <v>0.5616377798694081</v>
      </c>
      <c r="I3" s="13">
        <f t="shared" ref="I3:I4" si="1">E3*H3</f>
        <v>316212.17954651441</v>
      </c>
      <c r="J3" s="14">
        <v>1261789373700</v>
      </c>
      <c r="K3" s="14">
        <v>322490419730</v>
      </c>
      <c r="L3" s="7">
        <v>0.74441818384922098</v>
      </c>
      <c r="M3" s="15">
        <f t="shared" ref="M3:M6" si="2">K3/J3</f>
        <v>0.25558181615077902</v>
      </c>
      <c r="N3" s="26">
        <f t="shared" ref="N3:N4" si="3">I3*M3</f>
        <v>80818.083137494366</v>
      </c>
      <c r="O3" s="10"/>
      <c r="Q3" s="17"/>
    </row>
    <row r="4" spans="1:17" s="16" customFormat="1" ht="34" x14ac:dyDescent="0.45">
      <c r="A4" s="9" t="s">
        <v>27</v>
      </c>
      <c r="B4" s="10">
        <v>13330215</v>
      </c>
      <c r="C4" s="10">
        <v>3808633</v>
      </c>
      <c r="D4" s="10">
        <v>1089147</v>
      </c>
      <c r="E4" s="27">
        <v>1261710</v>
      </c>
      <c r="F4" s="10">
        <f>E4*B4</f>
        <v>16818865567650</v>
      </c>
      <c r="G4" s="11">
        <v>7571551647220</v>
      </c>
      <c r="H4" s="12">
        <f t="shared" si="0"/>
        <v>0.45018206589292142</v>
      </c>
      <c r="I4" s="13">
        <f t="shared" si="1"/>
        <v>567999.21435775794</v>
      </c>
      <c r="J4" s="14">
        <v>2735161771300</v>
      </c>
      <c r="K4" s="14">
        <v>675933371740</v>
      </c>
      <c r="L4" s="7">
        <v>0.75287261659161953</v>
      </c>
      <c r="M4" s="15">
        <f t="shared" si="2"/>
        <v>0.24712738340838042</v>
      </c>
      <c r="N4" s="26">
        <f t="shared" si="3"/>
        <v>140368.15962224849</v>
      </c>
      <c r="O4" s="10"/>
      <c r="Q4" s="17"/>
    </row>
    <row r="5" spans="1:17" s="16" customFormat="1" ht="51" x14ac:dyDescent="0.45">
      <c r="A5" s="9" t="s">
        <v>24</v>
      </c>
      <c r="B5" s="10">
        <v>13311927</v>
      </c>
      <c r="C5" s="10">
        <v>4073035</v>
      </c>
      <c r="D5" s="10">
        <v>5927765</v>
      </c>
      <c r="E5" s="27">
        <v>5277734</v>
      </c>
      <c r="F5" s="10">
        <f>E5*B5</f>
        <v>70256809733418</v>
      </c>
      <c r="G5" s="11">
        <v>11775104079200</v>
      </c>
      <c r="H5" s="12">
        <f t="shared" si="0"/>
        <v>0.16760089340633857</v>
      </c>
      <c r="I5" s="13">
        <f>E5*H5</f>
        <v>884552.93356100889</v>
      </c>
      <c r="J5" s="14">
        <v>4649167858850</v>
      </c>
      <c r="K5" s="14">
        <v>1228994614860</v>
      </c>
      <c r="L5" s="7">
        <v>0.73565277654569372</v>
      </c>
      <c r="M5" s="15">
        <f>K5/J5</f>
        <v>0.26434722345430633</v>
      </c>
      <c r="N5" s="26">
        <f>I5*M5</f>
        <v>233829.1119852142</v>
      </c>
      <c r="O5" s="10"/>
      <c r="Q5" s="17"/>
    </row>
    <row r="6" spans="1:17" s="16" customFormat="1" x14ac:dyDescent="0.45">
      <c r="A6" s="18" t="s">
        <v>10</v>
      </c>
      <c r="B6" s="19">
        <f>SUM(B2:B5)</f>
        <v>53247650</v>
      </c>
      <c r="C6" s="19">
        <f>SUM(C2:C5)</f>
        <v>12801143</v>
      </c>
      <c r="D6" s="19">
        <v>1720513</v>
      </c>
      <c r="E6" s="19">
        <v>1720668</v>
      </c>
      <c r="F6" s="19">
        <f>SUM(F2:F5)</f>
        <v>98550620556289</v>
      </c>
      <c r="G6" s="20">
        <f>SUM(G2:G5)</f>
        <v>26414884230890</v>
      </c>
      <c r="H6" s="21">
        <f t="shared" si="0"/>
        <v>0.2680336671832792</v>
      </c>
      <c r="I6" s="22"/>
      <c r="J6" s="23">
        <f>SUM(J2:J5)</f>
        <v>9374578520990</v>
      </c>
      <c r="K6" s="23">
        <f>SUM(K2:K5)</f>
        <v>2432206004950</v>
      </c>
      <c r="M6" s="6">
        <f t="shared" si="2"/>
        <v>0.25944697134961409</v>
      </c>
      <c r="N6" s="24"/>
      <c r="O6" s="17"/>
    </row>
    <row r="7" spans="1:17" x14ac:dyDescent="0.45">
      <c r="A7" s="4" t="s">
        <v>9</v>
      </c>
      <c r="H7" s="2" t="s">
        <v>2</v>
      </c>
      <c r="I7" s="2" t="s">
        <v>32</v>
      </c>
      <c r="J7" s="3"/>
      <c r="M7" s="2" t="s">
        <v>3</v>
      </c>
      <c r="N7" s="2" t="s">
        <v>34</v>
      </c>
    </row>
    <row r="8" spans="1:17" x14ac:dyDescent="0.45">
      <c r="A8" s="4"/>
      <c r="H8" s="2"/>
      <c r="I8" s="2"/>
      <c r="J8" s="3"/>
      <c r="M8" s="2"/>
      <c r="N8" s="2"/>
    </row>
    <row r="9" spans="1:17" x14ac:dyDescent="0.45">
      <c r="B9" s="29" t="s">
        <v>39</v>
      </c>
      <c r="C9" s="5"/>
      <c r="E9" s="1"/>
    </row>
    <row r="10" spans="1:17" x14ac:dyDescent="0.45">
      <c r="B10" t="s">
        <v>18</v>
      </c>
      <c r="C10" s="28">
        <v>2923</v>
      </c>
    </row>
    <row r="11" spans="1:17" x14ac:dyDescent="0.45">
      <c r="B11" t="s">
        <v>17</v>
      </c>
      <c r="C11" s="1">
        <f>C6</f>
        <v>12801143</v>
      </c>
    </row>
    <row r="12" spans="1:17" x14ac:dyDescent="0.45">
      <c r="B12" t="s">
        <v>19</v>
      </c>
      <c r="C12" s="28">
        <f>C11/C10</f>
        <v>4379.4536435169348</v>
      </c>
    </row>
    <row r="13" spans="1:17" ht="21" x14ac:dyDescent="0.55000000000000004">
      <c r="A13" s="33" t="s">
        <v>23</v>
      </c>
      <c r="B13" s="31"/>
      <c r="C13" s="31"/>
      <c r="D13" s="31"/>
      <c r="E13" s="31"/>
      <c r="F13" s="31"/>
      <c r="G13" s="31"/>
      <c r="H13" s="31"/>
      <c r="I13" s="31"/>
    </row>
    <row r="14" spans="1:17" ht="17.5" x14ac:dyDescent="0.45">
      <c r="A14" s="34" t="s">
        <v>29</v>
      </c>
      <c r="B14" s="31"/>
      <c r="C14" s="31"/>
      <c r="D14" s="31"/>
      <c r="E14" s="31"/>
      <c r="F14" s="31"/>
      <c r="G14" s="31"/>
      <c r="H14" s="31"/>
      <c r="I14" s="31"/>
    </row>
    <row r="15" spans="1:17" x14ac:dyDescent="0.45">
      <c r="A15" s="31"/>
      <c r="B15" s="32" t="s">
        <v>20</v>
      </c>
      <c r="C15" s="31"/>
      <c r="D15" s="31"/>
      <c r="E15" s="31"/>
      <c r="F15" s="31"/>
      <c r="G15" s="31"/>
      <c r="H15" s="31"/>
      <c r="I15" s="31"/>
    </row>
    <row r="16" spans="1:17" x14ac:dyDescent="0.45">
      <c r="A16" s="31"/>
      <c r="B16" s="32" t="s">
        <v>22</v>
      </c>
      <c r="C16" s="31"/>
      <c r="D16" s="31"/>
      <c r="E16" s="31"/>
      <c r="F16" s="31"/>
      <c r="G16" s="31"/>
      <c r="H16" s="31"/>
      <c r="I16" s="31"/>
    </row>
    <row r="17" spans="1:9" ht="17.5" x14ac:dyDescent="0.45">
      <c r="A17" s="34" t="s">
        <v>30</v>
      </c>
      <c r="B17" s="31"/>
      <c r="C17" s="31"/>
      <c r="D17" s="31"/>
      <c r="E17" s="31"/>
      <c r="F17" s="31"/>
      <c r="G17" s="31"/>
      <c r="H17" s="31"/>
      <c r="I17" s="31"/>
    </row>
    <row r="18" spans="1:9" x14ac:dyDescent="0.45">
      <c r="A18" s="31"/>
      <c r="B18" s="32" t="s">
        <v>28</v>
      </c>
      <c r="C18" s="31"/>
      <c r="D18" s="31"/>
      <c r="E18" s="31"/>
      <c r="F18" s="31"/>
      <c r="G18" s="31"/>
      <c r="H18" s="31"/>
      <c r="I18" s="31"/>
    </row>
    <row r="19" spans="1:9" x14ac:dyDescent="0.45">
      <c r="A19" s="31"/>
      <c r="B19" s="32" t="s">
        <v>31</v>
      </c>
      <c r="C19" s="31"/>
      <c r="D19" s="31"/>
      <c r="E19" s="31"/>
      <c r="F19" s="31"/>
      <c r="G19" s="31"/>
      <c r="H19" s="31"/>
      <c r="I19" s="31"/>
    </row>
    <row r="20" spans="1:9" x14ac:dyDescent="0.45">
      <c r="A20" s="31"/>
      <c r="B20" s="32" t="s">
        <v>33</v>
      </c>
      <c r="C20" s="31"/>
      <c r="D20" s="31"/>
      <c r="E20" s="31"/>
      <c r="F20" s="31"/>
      <c r="G20" s="31"/>
      <c r="H20" s="31"/>
      <c r="I20" s="31"/>
    </row>
    <row r="21" spans="1:9" x14ac:dyDescent="0.45">
      <c r="A21" s="31"/>
      <c r="B21" s="32" t="s">
        <v>35</v>
      </c>
      <c r="C21" s="31"/>
      <c r="D21" s="31"/>
      <c r="E21" s="31"/>
      <c r="F21" s="31"/>
      <c r="G21" s="31"/>
      <c r="H21" s="31"/>
      <c r="I21" s="31"/>
    </row>
    <row r="22" spans="1:9" x14ac:dyDescent="0.45">
      <c r="A22" t="s">
        <v>38</v>
      </c>
      <c r="B22" s="29"/>
    </row>
    <row r="23" spans="1:9" x14ac:dyDescent="0.45">
      <c r="B23" s="30" t="s">
        <v>36</v>
      </c>
    </row>
    <row r="24" spans="1:9" x14ac:dyDescent="0.45">
      <c r="B24" s="30" t="s">
        <v>37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상현 이</cp:lastModifiedBy>
  <dcterms:created xsi:type="dcterms:W3CDTF">2026-04-30T05:52:59Z</dcterms:created>
  <dcterms:modified xsi:type="dcterms:W3CDTF">2026-05-08T15:11:46Z</dcterms:modified>
</cp:coreProperties>
</file>