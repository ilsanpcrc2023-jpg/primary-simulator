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D1EF9DD-878C-4E32-B2F5-716AC9833A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핵심표" sheetId="7" r:id="rId1"/>
    <sheet name="cf.상세자료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7" l="1"/>
  <c r="Q6" i="7" s="1"/>
  <c r="M6" i="7"/>
  <c r="J6" i="7"/>
  <c r="F6" i="7"/>
  <c r="C6" i="7"/>
  <c r="C14" i="7" s="1"/>
  <c r="C15" i="7" s="1"/>
  <c r="B6" i="7"/>
  <c r="Q5" i="7"/>
  <c r="P5" i="7" s="1"/>
  <c r="O5" i="7"/>
  <c r="I5" i="7"/>
  <c r="K5" i="7" s="1"/>
  <c r="L5" i="7" s="1"/>
  <c r="F5" i="7"/>
  <c r="Q4" i="7"/>
  <c r="P4" i="7"/>
  <c r="O4" i="7"/>
  <c r="I4" i="7"/>
  <c r="K4" i="7" s="1"/>
  <c r="L4" i="7" s="1"/>
  <c r="R4" i="7" s="1"/>
  <c r="F4" i="7"/>
  <c r="Q3" i="7"/>
  <c r="P3" i="7" s="1"/>
  <c r="O3" i="7"/>
  <c r="I3" i="7"/>
  <c r="K3" i="7" s="1"/>
  <c r="L3" i="7" s="1"/>
  <c r="F3" i="7"/>
  <c r="Q2" i="7"/>
  <c r="P2" i="7"/>
  <c r="O2" i="7"/>
  <c r="I2" i="7"/>
  <c r="F2" i="7"/>
  <c r="I2" i="4"/>
  <c r="I6" i="7" l="1"/>
  <c r="K6" i="7" s="1"/>
  <c r="R5" i="7"/>
  <c r="R3" i="7"/>
  <c r="G6" i="7"/>
  <c r="G5" i="7"/>
  <c r="H5" i="7" s="1"/>
  <c r="G4" i="7"/>
  <c r="H4" i="7" s="1"/>
  <c r="O6" i="7"/>
  <c r="G3" i="7"/>
  <c r="H3" i="7" s="1"/>
  <c r="G2" i="7"/>
  <c r="H2" i="7" s="1"/>
  <c r="K2" i="7"/>
  <c r="L2" i="7" s="1"/>
  <c r="R2" i="7" s="1"/>
  <c r="I3" i="4" l="1"/>
  <c r="I4" i="4"/>
  <c r="F3" i="4"/>
  <c r="F4" i="4"/>
  <c r="F5" i="4"/>
  <c r="F6" i="4"/>
  <c r="F2" i="4"/>
  <c r="Q3" i="4"/>
  <c r="P3" i="4" s="1"/>
  <c r="O3" i="4" l="1"/>
  <c r="O4" i="4"/>
  <c r="O5" i="4"/>
  <c r="O2" i="4"/>
  <c r="Q5" i="4"/>
  <c r="P5" i="4" s="1"/>
  <c r="Q4" i="4" l="1"/>
  <c r="P4" i="4" s="1"/>
  <c r="K2" i="4"/>
  <c r="N6" i="4"/>
  <c r="M6" i="4"/>
  <c r="Q2" i="4"/>
  <c r="P2" i="4" s="1"/>
  <c r="J6" i="4"/>
  <c r="K4" i="4"/>
  <c r="I5" i="4"/>
  <c r="K5" i="4" s="1"/>
  <c r="L5" i="4" s="1"/>
  <c r="Q6" i="4" l="1"/>
  <c r="L2" i="4"/>
  <c r="R2" i="4" s="1"/>
  <c r="K3" i="4"/>
  <c r="L3" i="4" s="1"/>
  <c r="R3" i="4" s="1"/>
  <c r="R5" i="4"/>
  <c r="L4" i="4"/>
  <c r="R4" i="4" s="1"/>
  <c r="I6" i="4"/>
  <c r="K6" i="4" s="1"/>
  <c r="C6" i="4" l="1"/>
  <c r="O6" i="4" s="1"/>
  <c r="B6" i="4"/>
  <c r="G6" i="4" l="1"/>
  <c r="C14" i="4"/>
  <c r="C15" i="4" s="1"/>
  <c r="G5" i="4"/>
  <c r="H5" i="4" s="1"/>
  <c r="G4" i="4"/>
  <c r="H4" i="4" s="1"/>
  <c r="G3" i="4"/>
  <c r="H3" i="4" s="1"/>
  <c r="G2" i="4"/>
  <c r="H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1" authorId="0" shapeId="0" xr:uid="{D6DAE980-ED92-4A34-9657-8E3D7D9AA1FD}">
      <text>
        <r>
          <rPr>
            <sz val="10"/>
            <rFont val="Arial"/>
            <family val="2"/>
          </rPr>
          <t>F ÷ N</t>
        </r>
        <r>
          <rPr>
            <sz val="10"/>
            <rFont val="Noto Sans CJK SC"/>
            <family val="2"/>
          </rPr>
          <t xml:space="preserve">의 공단 측 직접 산출값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검증용 —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층에서 재계산</t>
        </r>
        <r>
          <rPr>
            <sz val="10"/>
            <rFont val="Arial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1" authorId="0" shapeId="0" xr:uid="{F1A49A45-4FE5-48BA-A6B9-4DD61E7DD047}">
      <text>
        <r>
          <rPr>
            <sz val="10"/>
            <rFont val="Arial"/>
            <family val="2"/>
          </rPr>
          <t>F ÷ N</t>
        </r>
        <r>
          <rPr>
            <sz val="10"/>
            <rFont val="Noto Sans CJK SC"/>
            <family val="2"/>
          </rPr>
          <t xml:space="preserve">의 공단 측 직접 산출값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검증용 —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층에서 재계산</t>
        </r>
        <r>
          <rPr>
            <sz val="10"/>
            <rFont val="Arial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<sst xmlns="http://schemas.openxmlformats.org/spreadsheetml/2006/main" count="136" uniqueCount="68">
  <si>
    <t>CR=H/G</t>
    <phoneticPr fontId="4" type="noConversion"/>
  </si>
  <si>
    <t>C1=RC/RT</t>
    <phoneticPr fontId="4" type="noConversion"/>
  </si>
  <si>
    <t>환자군별 
전체 환자수 NT</t>
    <phoneticPr fontId="4" type="noConversion"/>
  </si>
  <si>
    <t>환자군 평균
의료비 A</t>
    <phoneticPr fontId="4" type="noConversion"/>
  </si>
  <si>
    <t>총의료비 T</t>
    <phoneticPr fontId="4" type="noConversion"/>
  </si>
  <si>
    <t>수식</t>
    <phoneticPr fontId="4" type="noConversion"/>
  </si>
  <si>
    <t>합계.평균</t>
    <phoneticPr fontId="4" type="noConversion"/>
  </si>
  <si>
    <t>포괄관리
비중 C1</t>
    <phoneticPr fontId="6" type="noConversion"/>
  </si>
  <si>
    <t>일차의료
기본수가 
PB</t>
    <phoneticPr fontId="4" type="noConversion"/>
  </si>
  <si>
    <t>cf. 타원이용비중 
L1</t>
    <phoneticPr fontId="4" type="noConversion"/>
  </si>
  <si>
    <t>참여의원 환자수</t>
    <phoneticPr fontId="4" type="noConversion"/>
  </si>
  <si>
    <t>참여의원 수</t>
    <phoneticPr fontId="4" type="noConversion"/>
  </si>
  <si>
    <t>의원당 환자수</t>
    <phoneticPr fontId="4" type="noConversion"/>
  </si>
  <si>
    <t>HCC 4분위
환자군</t>
    <phoneticPr fontId="4" type="noConversion"/>
  </si>
  <si>
    <t>2) HCC 4분위(quartile)로 환자군 1-4군 분류</t>
    <phoneticPr fontId="4" type="noConversion"/>
  </si>
  <si>
    <t>자료 분석 절차</t>
    <phoneticPr fontId="4" type="noConversion"/>
  </si>
  <si>
    <t>환자 4군
(HCC 4분위)</t>
    <phoneticPr fontId="4" type="noConversion"/>
  </si>
  <si>
    <t>환자 1군
(HCC 1분위)</t>
    <phoneticPr fontId="4" type="noConversion"/>
  </si>
  <si>
    <t>환자 2군
(HCC 2분위)</t>
    <phoneticPr fontId="4" type="noConversion"/>
  </si>
  <si>
    <t>환자 3군
(HCC 3분위)</t>
    <phoneticPr fontId="4" type="noConversion"/>
  </si>
  <si>
    <t>1단계 (건보공단 전수자료 HCC 분석)</t>
    <phoneticPr fontId="4" type="noConversion"/>
  </si>
  <si>
    <t xml:space="preserve">2단계 (일만시 참여의원 환자 중심 분석) </t>
    <phoneticPr fontId="4" type="noConversion"/>
  </si>
  <si>
    <t>1) 환자군 평균 의료비 A</t>
    <phoneticPr fontId="4" type="noConversion"/>
  </si>
  <si>
    <t>B=A x CR</t>
    <phoneticPr fontId="4" type="noConversion"/>
  </si>
  <si>
    <t>2) 환자군 기준 의료비(의원급외래) B = A x CR</t>
    <phoneticPr fontId="4" type="noConversion"/>
  </si>
  <si>
    <t>PB=B x C1</t>
    <phoneticPr fontId="4" type="noConversion"/>
  </si>
  <si>
    <t>3) 일차의료기본수가 PB= B x C1</t>
    <phoneticPr fontId="4" type="noConversion"/>
  </si>
  <si>
    <t>일차의료기능보정 PF</t>
    <phoneticPr fontId="4" type="noConversion"/>
  </si>
  <si>
    <t xml:space="preserve">일차의료수가 P = PB + PF </t>
    <phoneticPr fontId="4" type="noConversion"/>
  </si>
  <si>
    <t>cf. 일차의료 정책 보정 후 일차의료수가</t>
    <phoneticPr fontId="4" type="noConversion"/>
  </si>
  <si>
    <t>일차의료 만성질환관리 시범사업</t>
    <phoneticPr fontId="4" type="noConversion"/>
  </si>
  <si>
    <t>환자군 외래
기준의료비 B</t>
    <phoneticPr fontId="4" type="noConversion"/>
  </si>
  <si>
    <t>의원급외래비 CO</t>
    <phoneticPr fontId="4" type="noConversion"/>
  </si>
  <si>
    <t>참여의원 
환자분포 RD</t>
    <phoneticPr fontId="4" type="noConversion"/>
  </si>
  <si>
    <t>참여의원 전체 환자수 RN</t>
    <phoneticPr fontId="4" type="noConversion"/>
  </si>
  <si>
    <t>의원급외래
비중 CR</t>
    <phoneticPr fontId="4" type="noConversion"/>
  </si>
  <si>
    <t>1인당 등록의원 
외래비 M1</t>
    <phoneticPr fontId="4" type="noConversion"/>
  </si>
  <si>
    <t>참여의원당
등록환자수
RR</t>
    <phoneticPr fontId="4" type="noConversion"/>
  </si>
  <si>
    <t>RR=RD x 1000</t>
    <phoneticPr fontId="4" type="noConversion"/>
  </si>
  <si>
    <t>RD=RN/RN합계</t>
    <phoneticPr fontId="4" type="noConversion"/>
  </si>
  <si>
    <t>R1= RC/RN</t>
    <phoneticPr fontId="4" type="noConversion"/>
  </si>
  <si>
    <t>참여의원 환자의 참여의원 외래의료비 RC</t>
    <phoneticPr fontId="4" type="noConversion"/>
  </si>
  <si>
    <t>참여의원 환자의 
전체 의원급 외래 
의료비(타원포함) RT</t>
    <phoneticPr fontId="6" type="noConversion"/>
  </si>
  <si>
    <t>HCC평균
H</t>
    <phoneticPr fontId="4" type="noConversion"/>
  </si>
  <si>
    <t>예측비
HR</t>
    <phoneticPr fontId="4" type="noConversion"/>
  </si>
  <si>
    <t>HR=H/A</t>
    <phoneticPr fontId="4" type="noConversion"/>
  </si>
  <si>
    <t>T=NT x A</t>
    <phoneticPr fontId="4" type="noConversion"/>
  </si>
  <si>
    <t>수식하지 말고 직접 값 기입해도 됨</t>
    <phoneticPr fontId="4" type="noConversion"/>
  </si>
  <si>
    <t>L1= 1- C1</t>
    <phoneticPr fontId="4" type="noConversion"/>
  </si>
  <si>
    <t>AGG_1: 환자군별 핵심 지표 (4분위)</t>
  </si>
  <si>
    <t>HCC_GP</t>
  </si>
  <si>
    <t>N_COUNT</t>
  </si>
  <si>
    <t>N_REG_COUNT</t>
  </si>
  <si>
    <t>HCC_PRED_AVG_COST</t>
  </si>
  <si>
    <t>ACT_AVG_TOTAL_COST</t>
  </si>
  <si>
    <t>C_CLINIC_OUTP_COST</t>
  </si>
  <si>
    <t>M_REG_CLINIC_COST</t>
  </si>
  <si>
    <t>C_REG_PATIENT_ALL_COST</t>
  </si>
  <si>
    <t>M_REG_CLINIC_COST_PER_IND</t>
  </si>
  <si>
    <t>C_CLINIC_OUTP_COST_PER_IND</t>
  </si>
  <si>
    <t>SEC_THIRD_OUTP_COST_PER_IND</t>
  </si>
  <si>
    <t>INP_COST_PER_IND</t>
  </si>
  <si>
    <t>ER_COST_PER_IND</t>
  </si>
  <si>
    <t>1) 2025년 건강보험 이용자 전수자료(48,874,201명)로 NHIS-HCC v3.0 구축 후</t>
    <phoneticPr fontId="4" type="noConversion"/>
  </si>
  <si>
    <t>주분석 대상: 일차의료 만성질환관리 시범사업 참여의원 2,923개 의원 환자 12,411,152명 (의원당 환자수 4,246명)</t>
    <phoneticPr fontId="4" type="noConversion"/>
  </si>
  <si>
    <t>(의료비 0원 제외)</t>
    <phoneticPr fontId="4" type="noConversion"/>
  </si>
  <si>
    <t>** 수식 함수 없는 노란 셀 분석 결과 기입 공간 **</t>
    <phoneticPr fontId="4" type="noConversion"/>
  </si>
  <si>
    <t>*** 핵심 필드: 기준의료비 B, 포괄관리 비중 C1, 기본수가 PB ***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</si>
</sst>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00_-;\-* #,##0.0000_-;_-* &quot;-&quot;_-;_-@_-"/>
    <numFmt numFmtId="177" formatCode="0.0%"/>
    <numFmt numFmtId="178" formatCode="0.000"/>
  </numFmts>
  <fonts count="17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b/>
      <u/>
      <sz val="12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Noto Sans CJK SC"/>
      <family val="2"/>
    </font>
    <font>
      <sz val="1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4"/>
      <color theme="3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rgb="FF1F497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3" fontId="0" fillId="0" borderId="0" xfId="0" applyNumberFormat="1"/>
    <xf numFmtId="0" fontId="0" fillId="0" borderId="0" xfId="0" quotePrefix="1"/>
    <xf numFmtId="41" fontId="0" fillId="0" borderId="0" xfId="0" applyNumberFormat="1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177" fontId="0" fillId="0" borderId="0" xfId="2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3" fontId="2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41" fontId="2" fillId="0" borderId="0" xfId="1" applyFont="1" applyFill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41" fontId="1" fillId="0" borderId="0" xfId="1" applyFont="1" applyFill="1" applyBorder="1" applyAlignment="1">
      <alignment horizontal="right" vertical="center" wrapText="1"/>
    </xf>
    <xf numFmtId="177" fontId="0" fillId="0" borderId="0" xfId="2" applyNumberFormat="1" applyFont="1" applyFill="1" applyBorder="1" applyAlignment="1">
      <alignment horizontal="right" vertical="center" wrapText="1"/>
    </xf>
    <xf numFmtId="176" fontId="0" fillId="0" borderId="0" xfId="1" applyNumberFormat="1" applyFont="1" applyFill="1" applyBorder="1" applyAlignment="1">
      <alignment horizontal="right" vertical="center" wrapText="1"/>
    </xf>
    <xf numFmtId="41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7" fillId="2" borderId="0" xfId="0" applyFont="1" applyFill="1" applyAlignment="1">
      <alignment horizontal="center" vertical="center" wrapText="1"/>
    </xf>
    <xf numFmtId="41" fontId="0" fillId="0" borderId="0" xfId="1" applyFont="1" applyAlignment="1"/>
    <xf numFmtId="0" fontId="5" fillId="0" borderId="0" xfId="0" applyFont="1"/>
    <xf numFmtId="0" fontId="8" fillId="0" borderId="0" xfId="0" applyFont="1"/>
    <xf numFmtId="0" fontId="0" fillId="5" borderId="0" xfId="0" applyFill="1"/>
    <xf numFmtId="0" fontId="5" fillId="5" borderId="0" xfId="0" applyFont="1" applyFill="1"/>
    <xf numFmtId="0" fontId="9" fillId="5" borderId="0" xfId="0" applyFont="1" applyFill="1"/>
    <xf numFmtId="0" fontId="10" fillId="5" borderId="0" xfId="0" applyFont="1" applyFill="1"/>
    <xf numFmtId="177" fontId="5" fillId="0" borderId="0" xfId="2" applyNumberFormat="1" applyFont="1" applyFill="1" applyBorder="1" applyAlignment="1">
      <alignment horizontal="right" vertical="center" wrapText="1"/>
    </xf>
    <xf numFmtId="41" fontId="5" fillId="0" borderId="0" xfId="1" applyFont="1" applyFill="1" applyBorder="1" applyAlignment="1">
      <alignment horizontal="right" vertical="center" wrapText="1"/>
    </xf>
    <xf numFmtId="0" fontId="7" fillId="6" borderId="0" xfId="0" applyFont="1" applyFill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quotePrefix="1" applyAlignment="1">
      <alignment vertical="center" wrapText="1"/>
    </xf>
    <xf numFmtId="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 shrinkToFit="1"/>
    </xf>
    <xf numFmtId="0" fontId="0" fillId="0" borderId="0" xfId="0" applyAlignment="1">
      <alignment wrapText="1" shrinkToFit="1"/>
    </xf>
    <xf numFmtId="0" fontId="0" fillId="0" borderId="0" xfId="0" quotePrefix="1" applyAlignment="1">
      <alignment wrapText="1" shrinkToFit="1"/>
    </xf>
    <xf numFmtId="177" fontId="5" fillId="0" borderId="0" xfId="2" applyNumberFormat="1" applyFont="1" applyFill="1" applyBorder="1" applyAlignment="1">
      <alignment horizontal="right" vertical="center"/>
    </xf>
    <xf numFmtId="41" fontId="5" fillId="0" borderId="0" xfId="1" applyFont="1" applyFill="1" applyBorder="1" applyAlignment="1">
      <alignment horizontal="right" vertical="center"/>
    </xf>
    <xf numFmtId="177" fontId="2" fillId="0" borderId="0" xfId="2" applyNumberFormat="1" applyFont="1" applyFill="1" applyAlignment="1">
      <alignment horizontal="right" vertical="center" wrapText="1"/>
    </xf>
    <xf numFmtId="9" fontId="2" fillId="0" borderId="0" xfId="2" applyFont="1" applyFill="1" applyAlignment="1">
      <alignment horizontal="right" vertical="center" wrapText="1"/>
    </xf>
    <xf numFmtId="3" fontId="2" fillId="7" borderId="0" xfId="0" applyNumberFormat="1" applyFont="1" applyFill="1" applyAlignment="1">
      <alignment horizontal="right" vertical="center" wrapText="1"/>
    </xf>
    <xf numFmtId="3" fontId="1" fillId="7" borderId="0" xfId="0" applyNumberFormat="1" applyFont="1" applyFill="1" applyAlignment="1">
      <alignment horizontal="right" vertical="center" wrapText="1"/>
    </xf>
    <xf numFmtId="41" fontId="0" fillId="7" borderId="0" xfId="1" applyFont="1" applyFill="1" applyBorder="1" applyAlignment="1">
      <alignment horizontal="right" vertical="center" wrapText="1"/>
    </xf>
    <xf numFmtId="0" fontId="14" fillId="0" borderId="0" xfId="0" applyFont="1" applyAlignment="1">
      <alignment horizontal="right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0" fillId="7" borderId="0" xfId="0" applyFill="1"/>
    <xf numFmtId="0" fontId="0" fillId="4" borderId="0" xfId="0" applyFill="1"/>
    <xf numFmtId="0" fontId="15" fillId="4" borderId="0" xfId="0" applyFont="1" applyFill="1"/>
    <xf numFmtId="0" fontId="16" fillId="7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C3E4-9D7D-49A3-8BE4-FE1955D3AA0D}">
  <dimension ref="A1:U39"/>
  <sheetViews>
    <sheetView tabSelected="1" zoomScale="70" zoomScaleNormal="70" workbookViewId="0">
      <selection activeCell="M27" sqref="M27"/>
    </sheetView>
  </sheetViews>
  <sheetFormatPr defaultRowHeight="16.5"/>
  <cols>
    <col min="1" max="1" width="12.75" customWidth="1"/>
    <col min="2" max="2" width="14.625" customWidth="1"/>
    <col min="3" max="3" width="12.75" customWidth="1"/>
    <col min="4" max="4" width="12.625" hidden="1" customWidth="1"/>
    <col min="5" max="5" width="12.625" customWidth="1"/>
    <col min="6" max="6" width="8.5" hidden="1" customWidth="1"/>
    <col min="7" max="8" width="12.625" hidden="1" customWidth="1"/>
    <col min="9" max="9" width="20.375" customWidth="1"/>
    <col min="10" max="10" width="21.5" customWidth="1"/>
    <col min="11" max="11" width="11.75" customWidth="1"/>
    <col min="12" max="12" width="18.375" customWidth="1"/>
    <col min="13" max="13" width="20.125" customWidth="1"/>
    <col min="14" max="14" width="18.125" customWidth="1"/>
    <col min="15" max="15" width="13.75" hidden="1" customWidth="1"/>
    <col min="16" max="16" width="13.25" hidden="1" customWidth="1"/>
    <col min="17" max="17" width="12.125" customWidth="1"/>
    <col min="18" max="18" width="12.25" customWidth="1"/>
  </cols>
  <sheetData>
    <row r="1" spans="1:21" ht="69.599999999999994" customHeight="1">
      <c r="A1" s="7" t="s">
        <v>13</v>
      </c>
      <c r="B1" s="7" t="s">
        <v>2</v>
      </c>
      <c r="C1" s="7" t="s">
        <v>34</v>
      </c>
      <c r="D1" s="7" t="s">
        <v>43</v>
      </c>
      <c r="E1" s="49" t="s">
        <v>3</v>
      </c>
      <c r="F1" s="7" t="s">
        <v>44</v>
      </c>
      <c r="G1" s="7" t="s">
        <v>33</v>
      </c>
      <c r="H1" s="7" t="s">
        <v>37</v>
      </c>
      <c r="I1" s="7" t="s">
        <v>4</v>
      </c>
      <c r="J1" s="19" t="s">
        <v>32</v>
      </c>
      <c r="K1" s="49" t="s">
        <v>35</v>
      </c>
      <c r="L1" s="49" t="s">
        <v>31</v>
      </c>
      <c r="M1" s="19" t="s">
        <v>42</v>
      </c>
      <c r="N1" s="19" t="s">
        <v>41</v>
      </c>
      <c r="O1" s="29" t="s">
        <v>36</v>
      </c>
      <c r="P1" s="7" t="s">
        <v>9</v>
      </c>
      <c r="Q1" s="50" t="s">
        <v>7</v>
      </c>
      <c r="R1" s="50" t="s">
        <v>8</v>
      </c>
      <c r="S1" s="4"/>
      <c r="U1" s="4"/>
    </row>
    <row r="2" spans="1:21" s="10" customFormat="1" ht="33">
      <c r="A2" s="8" t="s">
        <v>17</v>
      </c>
      <c r="B2" s="43">
        <v>14067441</v>
      </c>
      <c r="C2" s="43">
        <v>2502705</v>
      </c>
      <c r="D2" s="43">
        <v>137181.70000000001</v>
      </c>
      <c r="E2" s="44">
        <v>405180</v>
      </c>
      <c r="F2" s="35">
        <f>D2/E2</f>
        <v>0.33856977145959821</v>
      </c>
      <c r="G2" s="41">
        <f>C2/C6</f>
        <v>0.20164969375929004</v>
      </c>
      <c r="H2" s="9">
        <f>G2*H6</f>
        <v>201.64969375929005</v>
      </c>
      <c r="I2" s="9">
        <f>E2*B2</f>
        <v>5699845744380</v>
      </c>
      <c r="J2" s="45">
        <v>3355297415880</v>
      </c>
      <c r="K2" s="27">
        <f>J2/I2</f>
        <v>0.58866460012330946</v>
      </c>
      <c r="L2" s="28">
        <f>E2*K2</f>
        <v>238515.12267796253</v>
      </c>
      <c r="M2" s="45">
        <v>763240427540</v>
      </c>
      <c r="N2" s="45">
        <v>216375316600</v>
      </c>
      <c r="O2" s="30">
        <f>N2/C2</f>
        <v>86456.580619769404</v>
      </c>
      <c r="P2" s="6">
        <f>1-Q2</f>
        <v>0.71650438211534573</v>
      </c>
      <c r="Q2" s="39">
        <f>N2/M2</f>
        <v>0.28349561788465427</v>
      </c>
      <c r="R2" s="40">
        <f>L2*Q2</f>
        <v>67617.992078423107</v>
      </c>
      <c r="S2" s="9"/>
      <c r="U2" s="11"/>
    </row>
    <row r="3" spans="1:21" s="10" customFormat="1" ht="33">
      <c r="A3" s="8" t="s">
        <v>18</v>
      </c>
      <c r="B3" s="43">
        <v>10312515</v>
      </c>
      <c r="C3" s="43">
        <v>2453897</v>
      </c>
      <c r="D3" s="43">
        <v>420443.1</v>
      </c>
      <c r="E3" s="44">
        <v>767703</v>
      </c>
      <c r="F3" s="35">
        <f t="shared" ref="F3:F6" si="0">D3/E3</f>
        <v>0.54766374496387271</v>
      </c>
      <c r="G3" s="41">
        <f>C3/C6</f>
        <v>0.19771710152288846</v>
      </c>
      <c r="H3" s="9">
        <f>G3*H6</f>
        <v>197.71710152288847</v>
      </c>
      <c r="I3" s="9">
        <f>E3*B3</f>
        <v>7916948703045</v>
      </c>
      <c r="J3" s="45">
        <v>4260780216990</v>
      </c>
      <c r="K3" s="27">
        <f>J3/I3</f>
        <v>0.53818464370638497</v>
      </c>
      <c r="L3" s="28">
        <f>E3*K3</f>
        <v>413165.96552732284</v>
      </c>
      <c r="M3" s="45">
        <v>1202520740020</v>
      </c>
      <c r="N3" s="45">
        <v>306877778640</v>
      </c>
      <c r="O3" s="30">
        <f>N3/C3</f>
        <v>125057.3184775074</v>
      </c>
      <c r="P3" s="6">
        <f t="shared" ref="P3:P5" si="1">1-Q3</f>
        <v>0.74480458554511408</v>
      </c>
      <c r="Q3" s="39">
        <f>N3/M3</f>
        <v>0.25519541445488592</v>
      </c>
      <c r="R3" s="40">
        <f t="shared" ref="R3:R4" si="2">L3*Q3</f>
        <v>105438.05981139826</v>
      </c>
      <c r="S3" s="9"/>
      <c r="U3" s="11"/>
    </row>
    <row r="4" spans="1:21" s="10" customFormat="1" ht="33">
      <c r="A4" s="8" t="s">
        <v>19</v>
      </c>
      <c r="B4" s="43">
        <v>12275798</v>
      </c>
      <c r="C4" s="43">
        <v>3646697</v>
      </c>
      <c r="D4" s="43">
        <v>1274789</v>
      </c>
      <c r="E4" s="44">
        <v>1355881</v>
      </c>
      <c r="F4" s="35">
        <f t="shared" si="0"/>
        <v>0.94019239151518463</v>
      </c>
      <c r="G4" s="41">
        <f>C4/C6</f>
        <v>0.29382421551198473</v>
      </c>
      <c r="H4" s="9">
        <f>G4*H6</f>
        <v>293.82421551198473</v>
      </c>
      <c r="I4" s="9">
        <f>E4*B4</f>
        <v>16644521268038</v>
      </c>
      <c r="J4" s="45">
        <v>8132444692740</v>
      </c>
      <c r="K4" s="27">
        <f>J4/I4</f>
        <v>0.48859589061035369</v>
      </c>
      <c r="L4" s="28">
        <f>E4*K4</f>
        <v>662477.88475665695</v>
      </c>
      <c r="M4" s="45">
        <v>2878981419410</v>
      </c>
      <c r="N4" s="45">
        <v>689438975910</v>
      </c>
      <c r="O4" s="30">
        <f>N4/C4</f>
        <v>189058.47563150982</v>
      </c>
      <c r="P4" s="6">
        <f t="shared" si="1"/>
        <v>0.76052677128729462</v>
      </c>
      <c r="Q4" s="39">
        <f t="shared" ref="Q4:Q6" si="3">N4/M4</f>
        <v>0.23947322871270535</v>
      </c>
      <c r="R4" s="40">
        <f t="shared" si="2"/>
        <v>158645.71801344017</v>
      </c>
      <c r="S4" s="9"/>
      <c r="U4" s="11"/>
    </row>
    <row r="5" spans="1:21" s="10" customFormat="1" ht="33">
      <c r="A5" s="8" t="s">
        <v>16</v>
      </c>
      <c r="B5" s="43">
        <v>12218447</v>
      </c>
      <c r="C5" s="43">
        <v>3807853</v>
      </c>
      <c r="D5" s="43">
        <v>6272154</v>
      </c>
      <c r="E5" s="44">
        <v>5589034</v>
      </c>
      <c r="F5" s="35">
        <f t="shared" si="0"/>
        <v>1.1222250571386754</v>
      </c>
      <c r="G5" s="41">
        <f>C5/C6</f>
        <v>0.30680898920583682</v>
      </c>
      <c r="H5" s="9">
        <f>G5*H6</f>
        <v>306.80898920583684</v>
      </c>
      <c r="I5" s="9">
        <f>E5*B5</f>
        <v>68289315710198</v>
      </c>
      <c r="J5" s="45">
        <v>12381588466360</v>
      </c>
      <c r="K5" s="27">
        <f>J5/I5</f>
        <v>0.18131077076396876</v>
      </c>
      <c r="L5" s="28">
        <f>E5*K5</f>
        <v>1013352.0623660274</v>
      </c>
      <c r="M5" s="45">
        <v>4852112815780</v>
      </c>
      <c r="N5" s="45">
        <v>1252406923660</v>
      </c>
      <c r="O5" s="30">
        <f>N5/C5</f>
        <v>328901.06935850729</v>
      </c>
      <c r="P5" s="6">
        <f t="shared" si="1"/>
        <v>0.74188421184541853</v>
      </c>
      <c r="Q5" s="39">
        <f>N5/M5</f>
        <v>0.25811578815458142</v>
      </c>
      <c r="R5" s="40">
        <f>L5*Q5</f>
        <v>261562.1662556777</v>
      </c>
      <c r="S5" s="9"/>
      <c r="U5" s="11"/>
    </row>
    <row r="6" spans="1:21" s="10" customFormat="1">
      <c r="A6" s="12" t="s">
        <v>6</v>
      </c>
      <c r="B6" s="13">
        <f>SUM(B2:B5)</f>
        <v>48874201</v>
      </c>
      <c r="C6" s="13">
        <f>SUM(C2:C5)</f>
        <v>12411152</v>
      </c>
      <c r="D6" s="13">
        <v>1720513</v>
      </c>
      <c r="E6" s="13">
        <v>1720668</v>
      </c>
      <c r="F6" s="35">
        <f t="shared" si="0"/>
        <v>0.99990991870599089</v>
      </c>
      <c r="G6" s="42">
        <f>C6/C6</f>
        <v>1</v>
      </c>
      <c r="H6" s="13">
        <v>1000</v>
      </c>
      <c r="I6" s="13">
        <f>SUM(I2:I5)</f>
        <v>98550631425661</v>
      </c>
      <c r="J6" s="14">
        <f>SUM(J2:J5)</f>
        <v>28130110791970</v>
      </c>
      <c r="K6" s="15">
        <f>J6/I6</f>
        <v>0.28543815889387969</v>
      </c>
      <c r="L6" s="16"/>
      <c r="M6" s="17">
        <f>SUM(M2:M5)</f>
        <v>9696855402750</v>
      </c>
      <c r="N6" s="17">
        <f>SUM(N2:N5)</f>
        <v>2465098994810</v>
      </c>
      <c r="O6" s="30">
        <f>N6/C6</f>
        <v>198619.67646597189</v>
      </c>
      <c r="Q6" s="6">
        <f t="shared" si="3"/>
        <v>0.25421633018379391</v>
      </c>
      <c r="R6" s="18"/>
      <c r="S6" s="11"/>
    </row>
    <row r="7" spans="1:21" s="32" customFormat="1" ht="30" customHeight="1">
      <c r="A7" s="33" t="s">
        <v>5</v>
      </c>
      <c r="B7" s="31"/>
      <c r="C7" s="31"/>
      <c r="D7" s="31"/>
      <c r="E7" s="31"/>
      <c r="F7" s="31" t="s">
        <v>45</v>
      </c>
      <c r="G7" s="31" t="s">
        <v>39</v>
      </c>
      <c r="H7" s="31" t="s">
        <v>38</v>
      </c>
      <c r="I7" s="31" t="s">
        <v>46</v>
      </c>
      <c r="J7" s="31"/>
      <c r="K7" s="34" t="s">
        <v>0</v>
      </c>
      <c r="L7" s="31" t="s">
        <v>23</v>
      </c>
      <c r="M7" s="31"/>
      <c r="N7" s="34"/>
      <c r="O7" s="34" t="s">
        <v>40</v>
      </c>
      <c r="P7" s="31" t="s">
        <v>48</v>
      </c>
      <c r="Q7" s="31" t="s">
        <v>1</v>
      </c>
      <c r="R7" s="34" t="s">
        <v>25</v>
      </c>
    </row>
    <row r="8" spans="1:21" s="37" customFormat="1" ht="41.45" customHeight="1">
      <c r="A8" s="36"/>
      <c r="I8" s="37" t="s">
        <v>47</v>
      </c>
      <c r="K8" s="38"/>
      <c r="N8" s="38"/>
      <c r="O8" s="38"/>
      <c r="P8" s="38"/>
    </row>
    <row r="9" spans="1:21" ht="41.45" customHeight="1">
      <c r="A9" s="54" t="s">
        <v>66</v>
      </c>
      <c r="B9" s="51"/>
      <c r="C9" s="51"/>
      <c r="D9" s="51"/>
      <c r="E9" s="51"/>
      <c r="K9" s="2"/>
      <c r="N9" s="2"/>
      <c r="O9" s="2"/>
      <c r="P9" s="2"/>
    </row>
    <row r="10" spans="1:21" ht="41.45" customHeight="1">
      <c r="A10" s="55" t="s">
        <v>67</v>
      </c>
      <c r="B10" s="53"/>
      <c r="C10" s="52"/>
      <c r="D10" s="52"/>
      <c r="E10" s="52"/>
      <c r="F10" s="52"/>
      <c r="G10" s="52"/>
      <c r="H10" s="52"/>
      <c r="I10" s="52"/>
      <c r="K10" s="2"/>
      <c r="N10" s="2"/>
      <c r="O10" s="2"/>
      <c r="P10" s="2"/>
    </row>
    <row r="11" spans="1:21">
      <c r="A11" s="4"/>
      <c r="K11" s="3"/>
      <c r="N11" s="2"/>
      <c r="O11" s="2"/>
      <c r="P11" s="2"/>
    </row>
    <row r="12" spans="1:21">
      <c r="B12" s="21" t="s">
        <v>30</v>
      </c>
      <c r="C12" s="5"/>
      <c r="E12" s="1"/>
      <c r="F12" s="1"/>
    </row>
    <row r="13" spans="1:21">
      <c r="B13" t="s">
        <v>11</v>
      </c>
      <c r="C13" s="20">
        <v>2923</v>
      </c>
    </row>
    <row r="14" spans="1:21">
      <c r="B14" t="s">
        <v>10</v>
      </c>
      <c r="C14" s="1">
        <f>C6</f>
        <v>12411152</v>
      </c>
    </row>
    <row r="15" spans="1:21">
      <c r="B15" t="s">
        <v>12</v>
      </c>
      <c r="C15" s="20">
        <f>C14/C13</f>
        <v>4246.0321587410199</v>
      </c>
    </row>
    <row r="16" spans="1:21" ht="20.25">
      <c r="A16" s="25" t="s">
        <v>15</v>
      </c>
      <c r="B16" s="23"/>
      <c r="C16" s="23"/>
      <c r="D16" s="23"/>
      <c r="E16" s="23"/>
      <c r="F16" s="23"/>
      <c r="G16" s="23"/>
      <c r="H16" s="23"/>
      <c r="I16" s="23"/>
      <c r="J16" s="23"/>
    </row>
    <row r="17" spans="1:10" ht="17.25">
      <c r="A17" s="26" t="s">
        <v>20</v>
      </c>
      <c r="B17" s="23"/>
      <c r="C17" s="23"/>
      <c r="D17" s="23"/>
      <c r="E17" s="23"/>
      <c r="F17" s="23"/>
      <c r="G17" s="23"/>
      <c r="H17" s="23"/>
      <c r="I17" s="23"/>
      <c r="J17" s="23"/>
    </row>
    <row r="18" spans="1:10">
      <c r="A18" s="23"/>
      <c r="B18" s="24" t="s">
        <v>63</v>
      </c>
      <c r="C18" s="23"/>
      <c r="D18" s="23"/>
      <c r="E18" s="23"/>
      <c r="F18" s="23"/>
      <c r="G18" s="23"/>
      <c r="H18" s="23"/>
      <c r="I18" s="23"/>
      <c r="J18" s="23"/>
    </row>
    <row r="19" spans="1:10">
      <c r="A19" s="23"/>
      <c r="B19" s="24" t="s">
        <v>65</v>
      </c>
      <c r="C19" s="23"/>
      <c r="D19" s="23"/>
      <c r="E19" s="23"/>
      <c r="F19" s="23"/>
      <c r="G19" s="23"/>
      <c r="H19" s="23"/>
      <c r="I19" s="23"/>
      <c r="J19" s="23"/>
    </row>
    <row r="20" spans="1:10">
      <c r="A20" s="23"/>
      <c r="B20" s="24" t="s">
        <v>14</v>
      </c>
      <c r="C20" s="23"/>
      <c r="D20" s="23"/>
      <c r="E20" s="23"/>
      <c r="F20" s="23"/>
      <c r="G20" s="23"/>
      <c r="H20" s="23"/>
      <c r="I20" s="23"/>
      <c r="J20" s="23"/>
    </row>
    <row r="21" spans="1:10" ht="17.25">
      <c r="A21" s="26" t="s">
        <v>21</v>
      </c>
      <c r="B21" s="23"/>
      <c r="C21" s="23"/>
      <c r="D21" s="23"/>
      <c r="E21" s="23"/>
      <c r="F21" s="23"/>
      <c r="G21" s="23"/>
      <c r="H21" s="23"/>
      <c r="I21" s="23"/>
      <c r="J21" s="23"/>
    </row>
    <row r="22" spans="1:10">
      <c r="A22" s="23"/>
      <c r="B22" s="24" t="s">
        <v>64</v>
      </c>
      <c r="C22" s="23"/>
      <c r="D22" s="23"/>
      <c r="E22" s="23"/>
      <c r="F22" s="23"/>
      <c r="G22" s="23"/>
      <c r="H22" s="23"/>
      <c r="I22" s="23"/>
      <c r="J22" s="23"/>
    </row>
    <row r="23" spans="1:10">
      <c r="A23" s="23"/>
      <c r="B23" s="24" t="s">
        <v>22</v>
      </c>
      <c r="C23" s="23"/>
      <c r="D23" s="23"/>
      <c r="E23" s="23"/>
      <c r="F23" s="23"/>
      <c r="G23" s="23"/>
      <c r="H23" s="23"/>
      <c r="I23" s="23"/>
      <c r="J23" s="23"/>
    </row>
    <row r="24" spans="1:10">
      <c r="A24" s="23"/>
      <c r="B24" s="24" t="s">
        <v>24</v>
      </c>
      <c r="C24" s="23"/>
      <c r="D24" s="23"/>
      <c r="E24" s="23"/>
      <c r="F24" s="23"/>
      <c r="G24" s="23"/>
      <c r="H24" s="23"/>
      <c r="I24" s="23"/>
      <c r="J24" s="23"/>
    </row>
    <row r="25" spans="1:10">
      <c r="A25" s="23"/>
      <c r="B25" s="24" t="s">
        <v>26</v>
      </c>
      <c r="C25" s="23"/>
      <c r="D25" s="23"/>
      <c r="E25" s="23"/>
      <c r="F25" s="23"/>
      <c r="G25" s="23"/>
      <c r="H25" s="23"/>
      <c r="I25" s="23"/>
      <c r="J25" s="23"/>
    </row>
    <row r="26" spans="1:10">
      <c r="A26" t="s">
        <v>29</v>
      </c>
      <c r="B26" s="21"/>
    </row>
    <row r="27" spans="1:10">
      <c r="B27" s="22" t="s">
        <v>27</v>
      </c>
    </row>
    <row r="28" spans="1:10">
      <c r="B28" s="22" t="s">
        <v>28</v>
      </c>
    </row>
    <row r="34" spans="1:13">
      <c r="A34" s="48" t="s">
        <v>49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 ht="49.5">
      <c r="A35" s="46" t="s">
        <v>50</v>
      </c>
      <c r="B35" s="46" t="s">
        <v>51</v>
      </c>
      <c r="C35" s="46" t="s">
        <v>52</v>
      </c>
      <c r="D35" s="46" t="s">
        <v>53</v>
      </c>
      <c r="E35" s="46" t="s">
        <v>54</v>
      </c>
      <c r="F35" s="46" t="s">
        <v>55</v>
      </c>
      <c r="G35" s="46" t="s">
        <v>56</v>
      </c>
      <c r="H35" s="46" t="s">
        <v>57</v>
      </c>
      <c r="I35" s="46" t="s">
        <v>58</v>
      </c>
      <c r="J35" s="46" t="s">
        <v>59</v>
      </c>
      <c r="K35" s="46" t="s">
        <v>60</v>
      </c>
      <c r="L35" s="46" t="s">
        <v>61</v>
      </c>
      <c r="M35" s="46" t="s">
        <v>62</v>
      </c>
    </row>
    <row r="36" spans="1:13">
      <c r="A36" s="47">
        <v>1</v>
      </c>
      <c r="B36" s="47">
        <v>14067441</v>
      </c>
      <c r="C36" s="47">
        <v>2502705</v>
      </c>
      <c r="D36" s="47">
        <v>137181.70000000001</v>
      </c>
      <c r="E36" s="47">
        <v>405180</v>
      </c>
      <c r="F36" s="47">
        <v>3355297415880</v>
      </c>
      <c r="G36" s="47">
        <v>216375316600</v>
      </c>
      <c r="H36" s="47">
        <v>763240427540</v>
      </c>
      <c r="I36" s="47">
        <v>86456.58</v>
      </c>
      <c r="J36" s="47">
        <v>238515.1</v>
      </c>
      <c r="K36" s="47">
        <v>43989.67</v>
      </c>
      <c r="L36" s="47">
        <v>95672.95</v>
      </c>
      <c r="M36" s="47">
        <v>16469.22</v>
      </c>
    </row>
    <row r="37" spans="1:13">
      <c r="A37" s="47">
        <v>2</v>
      </c>
      <c r="B37" s="47">
        <v>10312515</v>
      </c>
      <c r="C37" s="47">
        <v>2453897</v>
      </c>
      <c r="D37" s="47">
        <v>420443.1</v>
      </c>
      <c r="E37" s="47">
        <v>767703</v>
      </c>
      <c r="F37" s="47">
        <v>4260780216990</v>
      </c>
      <c r="G37" s="47">
        <v>306877778640</v>
      </c>
      <c r="H37" s="47">
        <v>1202520740020</v>
      </c>
      <c r="I37" s="47">
        <v>125057.3</v>
      </c>
      <c r="J37" s="47">
        <v>413166</v>
      </c>
      <c r="K37" s="47">
        <v>84338.79</v>
      </c>
      <c r="L37" s="47">
        <v>204575.3</v>
      </c>
      <c r="M37" s="47">
        <v>24873.37</v>
      </c>
    </row>
    <row r="38" spans="1:13">
      <c r="A38" s="47">
        <v>3</v>
      </c>
      <c r="B38" s="47">
        <v>12275798</v>
      </c>
      <c r="C38" s="47">
        <v>3646697</v>
      </c>
      <c r="D38" s="47">
        <v>1274789</v>
      </c>
      <c r="E38" s="47">
        <v>1355881</v>
      </c>
      <c r="F38" s="47">
        <v>8132444692740</v>
      </c>
      <c r="G38" s="47">
        <v>689438975910</v>
      </c>
      <c r="H38" s="47">
        <v>2878981419410</v>
      </c>
      <c r="I38" s="47">
        <v>189058.5</v>
      </c>
      <c r="J38" s="47">
        <v>662477.9</v>
      </c>
      <c r="K38" s="47">
        <v>199320.4</v>
      </c>
      <c r="L38" s="47">
        <v>407175.2</v>
      </c>
      <c r="M38" s="47">
        <v>49373.04</v>
      </c>
    </row>
    <row r="39" spans="1:13">
      <c r="A39" s="47">
        <v>4</v>
      </c>
      <c r="B39" s="47">
        <v>12218447</v>
      </c>
      <c r="C39" s="47">
        <v>3807853</v>
      </c>
      <c r="D39" s="47">
        <v>6272154</v>
      </c>
      <c r="E39" s="47">
        <v>5589034</v>
      </c>
      <c r="F39" s="47">
        <v>12381588466360</v>
      </c>
      <c r="G39" s="47">
        <v>1252406923660</v>
      </c>
      <c r="H39" s="47">
        <v>4852112815780</v>
      </c>
      <c r="I39" s="47">
        <v>328901.09999999998</v>
      </c>
      <c r="J39" s="47">
        <v>1013352</v>
      </c>
      <c r="K39" s="47">
        <v>936223.4</v>
      </c>
      <c r="L39" s="47">
        <v>3462833</v>
      </c>
      <c r="M39" s="47">
        <v>866007.9</v>
      </c>
    </row>
  </sheetData>
  <mergeCells count="1">
    <mergeCell ref="A34:M34"/>
  </mergeCells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zoomScale="70" zoomScaleNormal="70" workbookViewId="0">
      <selection activeCell="N16" sqref="N16"/>
    </sheetView>
  </sheetViews>
  <sheetFormatPr defaultRowHeight="16.5"/>
  <cols>
    <col min="1" max="1" width="12.75" customWidth="1"/>
    <col min="2" max="2" width="14.625" customWidth="1"/>
    <col min="3" max="3" width="12.75" customWidth="1"/>
    <col min="4" max="5" width="12.625" customWidth="1"/>
    <col min="6" max="6" width="8.5" customWidth="1"/>
    <col min="7" max="8" width="12.625" customWidth="1"/>
    <col min="9" max="9" width="20.375" customWidth="1"/>
    <col min="10" max="10" width="21.5" customWidth="1"/>
    <col min="11" max="11" width="11.75" customWidth="1"/>
    <col min="12" max="12" width="18.375" customWidth="1"/>
    <col min="13" max="13" width="20.125" customWidth="1"/>
    <col min="14" max="14" width="22.125" customWidth="1"/>
    <col min="15" max="15" width="13.75" customWidth="1"/>
    <col min="16" max="16" width="13.25" customWidth="1"/>
    <col min="17" max="17" width="12.125" customWidth="1"/>
    <col min="18" max="18" width="12.25" customWidth="1"/>
  </cols>
  <sheetData>
    <row r="1" spans="1:21" ht="69.599999999999994" customHeight="1">
      <c r="A1" s="7" t="s">
        <v>13</v>
      </c>
      <c r="B1" s="7" t="s">
        <v>2</v>
      </c>
      <c r="C1" s="7" t="s">
        <v>34</v>
      </c>
      <c r="D1" s="7" t="s">
        <v>43</v>
      </c>
      <c r="E1" s="49" t="s">
        <v>3</v>
      </c>
      <c r="F1" s="7" t="s">
        <v>44</v>
      </c>
      <c r="G1" s="7" t="s">
        <v>33</v>
      </c>
      <c r="H1" s="7" t="s">
        <v>37</v>
      </c>
      <c r="I1" s="7" t="s">
        <v>4</v>
      </c>
      <c r="J1" s="19" t="s">
        <v>32</v>
      </c>
      <c r="K1" s="49" t="s">
        <v>35</v>
      </c>
      <c r="L1" s="49" t="s">
        <v>31</v>
      </c>
      <c r="M1" s="19" t="s">
        <v>42</v>
      </c>
      <c r="N1" s="19" t="s">
        <v>41</v>
      </c>
      <c r="O1" s="29" t="s">
        <v>36</v>
      </c>
      <c r="P1" s="7" t="s">
        <v>9</v>
      </c>
      <c r="Q1" s="50" t="s">
        <v>7</v>
      </c>
      <c r="R1" s="50" t="s">
        <v>8</v>
      </c>
      <c r="S1" s="4"/>
      <c r="U1" s="4"/>
    </row>
    <row r="2" spans="1:21" s="10" customFormat="1" ht="33">
      <c r="A2" s="8" t="s">
        <v>17</v>
      </c>
      <c r="B2" s="43">
        <v>14067441</v>
      </c>
      <c r="C2" s="43">
        <v>2502705</v>
      </c>
      <c r="D2" s="43">
        <v>137181.70000000001</v>
      </c>
      <c r="E2" s="44">
        <v>405180</v>
      </c>
      <c r="F2" s="35">
        <f>D2/E2</f>
        <v>0.33856977145959821</v>
      </c>
      <c r="G2" s="41">
        <f>C2/C6</f>
        <v>0.20164969375929004</v>
      </c>
      <c r="H2" s="9">
        <f>G2*H6</f>
        <v>201.64969375929005</v>
      </c>
      <c r="I2" s="9">
        <f>E2*B2</f>
        <v>5699845744380</v>
      </c>
      <c r="J2" s="45">
        <v>3355297415880</v>
      </c>
      <c r="K2" s="27">
        <f>J2/I2</f>
        <v>0.58866460012330946</v>
      </c>
      <c r="L2" s="28">
        <f>E2*K2</f>
        <v>238515.12267796253</v>
      </c>
      <c r="M2" s="45">
        <v>763240427540</v>
      </c>
      <c r="N2" s="45">
        <v>216375316600</v>
      </c>
      <c r="O2" s="30">
        <f>N2/C2</f>
        <v>86456.580619769404</v>
      </c>
      <c r="P2" s="6">
        <f>1-Q2</f>
        <v>0.71650438211534573</v>
      </c>
      <c r="Q2" s="39">
        <f>N2/M2</f>
        <v>0.28349561788465427</v>
      </c>
      <c r="R2" s="40">
        <f>L2*Q2</f>
        <v>67617.992078423107</v>
      </c>
      <c r="S2" s="9"/>
      <c r="U2" s="11"/>
    </row>
    <row r="3" spans="1:21" s="10" customFormat="1" ht="33">
      <c r="A3" s="8" t="s">
        <v>18</v>
      </c>
      <c r="B3" s="43">
        <v>10312515</v>
      </c>
      <c r="C3" s="43">
        <v>2453897</v>
      </c>
      <c r="D3" s="43">
        <v>420443.1</v>
      </c>
      <c r="E3" s="44">
        <v>767703</v>
      </c>
      <c r="F3" s="35">
        <f t="shared" ref="F3:F6" si="0">D3/E3</f>
        <v>0.54766374496387271</v>
      </c>
      <c r="G3" s="41">
        <f>C3/C6</f>
        <v>0.19771710152288846</v>
      </c>
      <c r="H3" s="9">
        <f>G3*H6</f>
        <v>197.71710152288847</v>
      </c>
      <c r="I3" s="9">
        <f>E3*B3</f>
        <v>7916948703045</v>
      </c>
      <c r="J3" s="45">
        <v>4260780216990</v>
      </c>
      <c r="K3" s="27">
        <f>J3/I3</f>
        <v>0.53818464370638497</v>
      </c>
      <c r="L3" s="28">
        <f>E3*K3</f>
        <v>413165.96552732284</v>
      </c>
      <c r="M3" s="45">
        <v>1202520740020</v>
      </c>
      <c r="N3" s="45">
        <v>306877778640</v>
      </c>
      <c r="O3" s="30">
        <f>N3/C3</f>
        <v>125057.3184775074</v>
      </c>
      <c r="P3" s="6">
        <f t="shared" ref="P3:P5" si="1">1-Q3</f>
        <v>0.74480458554511408</v>
      </c>
      <c r="Q3" s="39">
        <f>N3/M3</f>
        <v>0.25519541445488592</v>
      </c>
      <c r="R3" s="40">
        <f t="shared" ref="R3:R4" si="2">L3*Q3</f>
        <v>105438.05981139826</v>
      </c>
      <c r="S3" s="9"/>
      <c r="U3" s="11"/>
    </row>
    <row r="4" spans="1:21" s="10" customFormat="1" ht="33">
      <c r="A4" s="8" t="s">
        <v>19</v>
      </c>
      <c r="B4" s="43">
        <v>12275798</v>
      </c>
      <c r="C4" s="43">
        <v>3646697</v>
      </c>
      <c r="D4" s="43">
        <v>1274789</v>
      </c>
      <c r="E4" s="44">
        <v>1355881</v>
      </c>
      <c r="F4" s="35">
        <f t="shared" si="0"/>
        <v>0.94019239151518463</v>
      </c>
      <c r="G4" s="41">
        <f>C4/C6</f>
        <v>0.29382421551198473</v>
      </c>
      <c r="H4" s="9">
        <f>G4*H6</f>
        <v>293.82421551198473</v>
      </c>
      <c r="I4" s="9">
        <f>E4*B4</f>
        <v>16644521268038</v>
      </c>
      <c r="J4" s="45">
        <v>8132444692740</v>
      </c>
      <c r="K4" s="27">
        <f>J4/I4</f>
        <v>0.48859589061035369</v>
      </c>
      <c r="L4" s="28">
        <f>E4*K4</f>
        <v>662477.88475665695</v>
      </c>
      <c r="M4" s="45">
        <v>2878981419410</v>
      </c>
      <c r="N4" s="45">
        <v>689438975910</v>
      </c>
      <c r="O4" s="30">
        <f>N4/C4</f>
        <v>189058.47563150982</v>
      </c>
      <c r="P4" s="6">
        <f t="shared" si="1"/>
        <v>0.76052677128729462</v>
      </c>
      <c r="Q4" s="39">
        <f t="shared" ref="Q4:Q6" si="3">N4/M4</f>
        <v>0.23947322871270535</v>
      </c>
      <c r="R4" s="40">
        <f t="shared" si="2"/>
        <v>158645.71801344017</v>
      </c>
      <c r="S4" s="9"/>
      <c r="U4" s="11"/>
    </row>
    <row r="5" spans="1:21" s="10" customFormat="1" ht="33">
      <c r="A5" s="8" t="s">
        <v>16</v>
      </c>
      <c r="B5" s="43">
        <v>12218447</v>
      </c>
      <c r="C5" s="43">
        <v>3807853</v>
      </c>
      <c r="D5" s="43">
        <v>6272154</v>
      </c>
      <c r="E5" s="44">
        <v>5589034</v>
      </c>
      <c r="F5" s="35">
        <f t="shared" si="0"/>
        <v>1.1222250571386754</v>
      </c>
      <c r="G5" s="41">
        <f>C5/C6</f>
        <v>0.30680898920583682</v>
      </c>
      <c r="H5" s="9">
        <f>G5*H6</f>
        <v>306.80898920583684</v>
      </c>
      <c r="I5" s="9">
        <f>E5*B5</f>
        <v>68289315710198</v>
      </c>
      <c r="J5" s="45">
        <v>12381588466360</v>
      </c>
      <c r="K5" s="27">
        <f>J5/I5</f>
        <v>0.18131077076396876</v>
      </c>
      <c r="L5" s="28">
        <f>E5*K5</f>
        <v>1013352.0623660274</v>
      </c>
      <c r="M5" s="45">
        <v>4852112815780</v>
      </c>
      <c r="N5" s="45">
        <v>1252406923660</v>
      </c>
      <c r="O5" s="30">
        <f>N5/C5</f>
        <v>328901.06935850729</v>
      </c>
      <c r="P5" s="6">
        <f t="shared" si="1"/>
        <v>0.74188421184541853</v>
      </c>
      <c r="Q5" s="39">
        <f>N5/M5</f>
        <v>0.25811578815458142</v>
      </c>
      <c r="R5" s="40">
        <f>L5*Q5</f>
        <v>261562.1662556777</v>
      </c>
      <c r="S5" s="9"/>
      <c r="U5" s="11"/>
    </row>
    <row r="6" spans="1:21" s="10" customFormat="1">
      <c r="A6" s="12" t="s">
        <v>6</v>
      </c>
      <c r="B6" s="13">
        <f>SUM(B2:B5)</f>
        <v>48874201</v>
      </c>
      <c r="C6" s="13">
        <f>SUM(C2:C5)</f>
        <v>12411152</v>
      </c>
      <c r="D6" s="13">
        <v>1720513</v>
      </c>
      <c r="E6" s="13">
        <v>1720668</v>
      </c>
      <c r="F6" s="35">
        <f t="shared" si="0"/>
        <v>0.99990991870599089</v>
      </c>
      <c r="G6" s="42">
        <f>C6/C6</f>
        <v>1</v>
      </c>
      <c r="H6" s="13">
        <v>1000</v>
      </c>
      <c r="I6" s="13">
        <f>SUM(I2:I5)</f>
        <v>98550631425661</v>
      </c>
      <c r="J6" s="14">
        <f>SUM(J2:J5)</f>
        <v>28130110791970</v>
      </c>
      <c r="K6" s="15">
        <f>J6/I6</f>
        <v>0.28543815889387969</v>
      </c>
      <c r="L6" s="16"/>
      <c r="M6" s="17">
        <f>SUM(M2:M5)</f>
        <v>9696855402750</v>
      </c>
      <c r="N6" s="17">
        <f>SUM(N2:N5)</f>
        <v>2465098994810</v>
      </c>
      <c r="O6" s="30">
        <f>N6/C6</f>
        <v>198619.67646597189</v>
      </c>
      <c r="Q6" s="6">
        <f t="shared" si="3"/>
        <v>0.25421633018379391</v>
      </c>
      <c r="R6" s="18"/>
      <c r="S6" s="11"/>
    </row>
    <row r="7" spans="1:21" s="32" customFormat="1" ht="30" customHeight="1">
      <c r="A7" s="33" t="s">
        <v>5</v>
      </c>
      <c r="B7" s="31"/>
      <c r="C7" s="31"/>
      <c r="D7" s="31"/>
      <c r="E7" s="31"/>
      <c r="F7" s="31" t="s">
        <v>45</v>
      </c>
      <c r="G7" s="31" t="s">
        <v>39</v>
      </c>
      <c r="H7" s="31" t="s">
        <v>38</v>
      </c>
      <c r="I7" s="31" t="s">
        <v>46</v>
      </c>
      <c r="J7" s="31"/>
      <c r="K7" s="34" t="s">
        <v>0</v>
      </c>
      <c r="L7" s="31" t="s">
        <v>23</v>
      </c>
      <c r="M7" s="31"/>
      <c r="N7" s="34"/>
      <c r="O7" s="34" t="s">
        <v>40</v>
      </c>
      <c r="P7" s="31" t="s">
        <v>48</v>
      </c>
      <c r="Q7" s="31" t="s">
        <v>1</v>
      </c>
      <c r="R7" s="34" t="s">
        <v>25</v>
      </c>
    </row>
    <row r="8" spans="1:21" s="37" customFormat="1" ht="41.45" customHeight="1">
      <c r="A8" s="36"/>
      <c r="I8" s="37" t="s">
        <v>47</v>
      </c>
      <c r="K8" s="38"/>
      <c r="N8" s="38"/>
      <c r="O8" s="38"/>
      <c r="P8" s="38"/>
    </row>
    <row r="9" spans="1:21" ht="41.45" customHeight="1">
      <c r="A9" s="54" t="s">
        <v>66</v>
      </c>
      <c r="B9" s="51"/>
      <c r="C9" s="51"/>
      <c r="D9" s="51"/>
      <c r="K9" s="2"/>
      <c r="N9" s="2"/>
      <c r="O9" s="2"/>
      <c r="P9" s="2"/>
    </row>
    <row r="10" spans="1:21" ht="41.45" customHeight="1">
      <c r="A10" s="55" t="s">
        <v>67</v>
      </c>
      <c r="B10" s="53"/>
      <c r="C10" s="52"/>
      <c r="D10" s="52"/>
      <c r="E10" s="52"/>
      <c r="F10" s="52"/>
      <c r="K10" s="2"/>
      <c r="N10" s="2"/>
      <c r="O10" s="2"/>
      <c r="P10" s="2"/>
    </row>
    <row r="11" spans="1:21">
      <c r="A11" s="4"/>
      <c r="K11" s="3"/>
      <c r="N11" s="2"/>
      <c r="O11" s="2"/>
      <c r="P11" s="2"/>
    </row>
    <row r="12" spans="1:21">
      <c r="B12" s="21" t="s">
        <v>30</v>
      </c>
      <c r="C12" s="5"/>
      <c r="E12" s="1"/>
      <c r="F12" s="1"/>
    </row>
    <row r="13" spans="1:21">
      <c r="B13" t="s">
        <v>11</v>
      </c>
      <c r="C13" s="20">
        <v>2923</v>
      </c>
    </row>
    <row r="14" spans="1:21">
      <c r="B14" t="s">
        <v>10</v>
      </c>
      <c r="C14" s="1">
        <f>C6</f>
        <v>12411152</v>
      </c>
    </row>
    <row r="15" spans="1:21">
      <c r="B15" t="s">
        <v>12</v>
      </c>
      <c r="C15" s="20">
        <f>C14/C13</f>
        <v>4246.0321587410199</v>
      </c>
    </row>
    <row r="16" spans="1:21" ht="20.25">
      <c r="A16" s="25" t="s">
        <v>15</v>
      </c>
      <c r="B16" s="23"/>
      <c r="C16" s="23"/>
      <c r="D16" s="23"/>
      <c r="E16" s="23"/>
      <c r="F16" s="23"/>
      <c r="G16" s="23"/>
      <c r="H16" s="23"/>
      <c r="I16" s="23"/>
      <c r="J16" s="23"/>
    </row>
    <row r="17" spans="1:10" ht="17.25">
      <c r="A17" s="26" t="s">
        <v>20</v>
      </c>
      <c r="B17" s="23"/>
      <c r="C17" s="23"/>
      <c r="D17" s="23"/>
      <c r="E17" s="23"/>
      <c r="F17" s="23"/>
      <c r="G17" s="23"/>
      <c r="H17" s="23"/>
      <c r="I17" s="23"/>
      <c r="J17" s="23"/>
    </row>
    <row r="18" spans="1:10">
      <c r="A18" s="23"/>
      <c r="B18" s="24" t="s">
        <v>63</v>
      </c>
      <c r="C18" s="23"/>
      <c r="D18" s="23"/>
      <c r="E18" s="23"/>
      <c r="F18" s="23"/>
      <c r="G18" s="23"/>
      <c r="H18" s="23"/>
      <c r="I18" s="23"/>
      <c r="J18" s="23"/>
    </row>
    <row r="19" spans="1:10">
      <c r="A19" s="23"/>
      <c r="B19" s="24" t="s">
        <v>65</v>
      </c>
      <c r="C19" s="23"/>
      <c r="D19" s="23"/>
      <c r="E19" s="23"/>
      <c r="F19" s="23"/>
      <c r="G19" s="23"/>
      <c r="H19" s="23"/>
      <c r="I19" s="23"/>
      <c r="J19" s="23"/>
    </row>
    <row r="20" spans="1:10">
      <c r="A20" s="23"/>
      <c r="B20" s="24" t="s">
        <v>14</v>
      </c>
      <c r="C20" s="23"/>
      <c r="D20" s="23"/>
      <c r="E20" s="23"/>
      <c r="F20" s="23"/>
      <c r="G20" s="23"/>
      <c r="H20" s="23"/>
      <c r="I20" s="23"/>
      <c r="J20" s="23"/>
    </row>
    <row r="21" spans="1:10" ht="17.25">
      <c r="A21" s="26" t="s">
        <v>21</v>
      </c>
      <c r="B21" s="23"/>
      <c r="C21" s="23"/>
      <c r="D21" s="23"/>
      <c r="E21" s="23"/>
      <c r="F21" s="23"/>
      <c r="G21" s="23"/>
      <c r="H21" s="23"/>
      <c r="I21" s="23"/>
      <c r="J21" s="23"/>
    </row>
    <row r="22" spans="1:10">
      <c r="A22" s="23"/>
      <c r="B22" s="24" t="s">
        <v>64</v>
      </c>
      <c r="C22" s="23"/>
      <c r="D22" s="23"/>
      <c r="E22" s="23"/>
      <c r="F22" s="23"/>
      <c r="G22" s="23"/>
      <c r="H22" s="23"/>
      <c r="I22" s="23"/>
      <c r="J22" s="23"/>
    </row>
    <row r="23" spans="1:10">
      <c r="A23" s="23"/>
      <c r="B23" s="24" t="s">
        <v>22</v>
      </c>
      <c r="C23" s="23"/>
      <c r="D23" s="23"/>
      <c r="E23" s="23"/>
      <c r="F23" s="23"/>
      <c r="G23" s="23"/>
      <c r="H23" s="23"/>
      <c r="I23" s="23"/>
      <c r="J23" s="23"/>
    </row>
    <row r="24" spans="1:10">
      <c r="A24" s="23"/>
      <c r="B24" s="24" t="s">
        <v>24</v>
      </c>
      <c r="C24" s="23"/>
      <c r="D24" s="23"/>
      <c r="E24" s="23"/>
      <c r="F24" s="23"/>
      <c r="G24" s="23"/>
      <c r="H24" s="23"/>
      <c r="I24" s="23"/>
      <c r="J24" s="23"/>
    </row>
    <row r="25" spans="1:10">
      <c r="A25" s="23"/>
      <c r="B25" s="24" t="s">
        <v>26</v>
      </c>
      <c r="C25" s="23"/>
      <c r="D25" s="23"/>
      <c r="E25" s="23"/>
      <c r="F25" s="23"/>
      <c r="G25" s="23"/>
      <c r="H25" s="23"/>
      <c r="I25" s="23"/>
      <c r="J25" s="23"/>
    </row>
    <row r="26" spans="1:10">
      <c r="A26" t="s">
        <v>29</v>
      </c>
      <c r="B26" s="21"/>
    </row>
    <row r="27" spans="1:10">
      <c r="B27" s="22" t="s">
        <v>27</v>
      </c>
    </row>
    <row r="28" spans="1:10">
      <c r="B28" s="22" t="s">
        <v>28</v>
      </c>
    </row>
    <row r="34" spans="1:13">
      <c r="A34" s="48" t="s">
        <v>49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 ht="49.5">
      <c r="A35" s="46" t="s">
        <v>50</v>
      </c>
      <c r="B35" s="46" t="s">
        <v>51</v>
      </c>
      <c r="C35" s="46" t="s">
        <v>52</v>
      </c>
      <c r="D35" s="46" t="s">
        <v>53</v>
      </c>
      <c r="E35" s="46" t="s">
        <v>54</v>
      </c>
      <c r="F35" s="46" t="s">
        <v>55</v>
      </c>
      <c r="G35" s="46" t="s">
        <v>56</v>
      </c>
      <c r="H35" s="46" t="s">
        <v>57</v>
      </c>
      <c r="I35" s="46" t="s">
        <v>58</v>
      </c>
      <c r="J35" s="46" t="s">
        <v>59</v>
      </c>
      <c r="K35" s="46" t="s">
        <v>60</v>
      </c>
      <c r="L35" s="46" t="s">
        <v>61</v>
      </c>
      <c r="M35" s="46" t="s">
        <v>62</v>
      </c>
    </row>
    <row r="36" spans="1:13">
      <c r="A36" s="47">
        <v>1</v>
      </c>
      <c r="B36" s="47">
        <v>14067441</v>
      </c>
      <c r="C36" s="47">
        <v>2502705</v>
      </c>
      <c r="D36" s="47">
        <v>137181.70000000001</v>
      </c>
      <c r="E36" s="47">
        <v>405180</v>
      </c>
      <c r="F36" s="47">
        <v>3355297415880</v>
      </c>
      <c r="G36" s="47">
        <v>216375316600</v>
      </c>
      <c r="H36" s="47">
        <v>763240427540</v>
      </c>
      <c r="I36" s="47">
        <v>86456.58</v>
      </c>
      <c r="J36" s="47">
        <v>238515.1</v>
      </c>
      <c r="K36" s="47">
        <v>43989.67</v>
      </c>
      <c r="L36" s="47">
        <v>95672.95</v>
      </c>
      <c r="M36" s="47">
        <v>16469.22</v>
      </c>
    </row>
    <row r="37" spans="1:13">
      <c r="A37" s="47">
        <v>2</v>
      </c>
      <c r="B37" s="47">
        <v>10312515</v>
      </c>
      <c r="C37" s="47">
        <v>2453897</v>
      </c>
      <c r="D37" s="47">
        <v>420443.1</v>
      </c>
      <c r="E37" s="47">
        <v>767703</v>
      </c>
      <c r="F37" s="47">
        <v>4260780216990</v>
      </c>
      <c r="G37" s="47">
        <v>306877778640</v>
      </c>
      <c r="H37" s="47">
        <v>1202520740020</v>
      </c>
      <c r="I37" s="47">
        <v>125057.3</v>
      </c>
      <c r="J37" s="47">
        <v>413166</v>
      </c>
      <c r="K37" s="47">
        <v>84338.79</v>
      </c>
      <c r="L37" s="47">
        <v>204575.3</v>
      </c>
      <c r="M37" s="47">
        <v>24873.37</v>
      </c>
    </row>
    <row r="38" spans="1:13">
      <c r="A38" s="47">
        <v>3</v>
      </c>
      <c r="B38" s="47">
        <v>12275798</v>
      </c>
      <c r="C38" s="47">
        <v>3646697</v>
      </c>
      <c r="D38" s="47">
        <v>1274789</v>
      </c>
      <c r="E38" s="47">
        <v>1355881</v>
      </c>
      <c r="F38" s="47">
        <v>8132444692740</v>
      </c>
      <c r="G38" s="47">
        <v>689438975910</v>
      </c>
      <c r="H38" s="47">
        <v>2878981419410</v>
      </c>
      <c r="I38" s="47">
        <v>189058.5</v>
      </c>
      <c r="J38" s="47">
        <v>662477.9</v>
      </c>
      <c r="K38" s="47">
        <v>199320.4</v>
      </c>
      <c r="L38" s="47">
        <v>407175.2</v>
      </c>
      <c r="M38" s="47">
        <v>49373.04</v>
      </c>
    </row>
    <row r="39" spans="1:13">
      <c r="A39" s="47">
        <v>4</v>
      </c>
      <c r="B39" s="47">
        <v>12218447</v>
      </c>
      <c r="C39" s="47">
        <v>3807853</v>
      </c>
      <c r="D39" s="47">
        <v>6272154</v>
      </c>
      <c r="E39" s="47">
        <v>5589034</v>
      </c>
      <c r="F39" s="47">
        <v>12381588466360</v>
      </c>
      <c r="G39" s="47">
        <v>1252406923660</v>
      </c>
      <c r="H39" s="47">
        <v>4852112815780</v>
      </c>
      <c r="I39" s="47">
        <v>328901.09999999998</v>
      </c>
      <c r="J39" s="47">
        <v>1013352</v>
      </c>
      <c r="K39" s="47">
        <v>936223.4</v>
      </c>
      <c r="L39" s="47">
        <v>3462833</v>
      </c>
      <c r="M39" s="47">
        <v>866007.9</v>
      </c>
    </row>
  </sheetData>
  <mergeCells count="1">
    <mergeCell ref="A34:M34"/>
  </mergeCells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핵심표</vt:lpstr>
      <vt:lpstr>cf.상세자료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상현 이</cp:lastModifiedBy>
  <dcterms:created xsi:type="dcterms:W3CDTF">2026-04-30T05:52:59Z</dcterms:created>
  <dcterms:modified xsi:type="dcterms:W3CDTF">2026-05-18T06:21:52Z</dcterms:modified>
</cp:coreProperties>
</file>